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<sst xmlns="http://schemas.openxmlformats.org/spreadsheetml/2006/main" count="1264" uniqueCount="639">
  <si>
    <t>Account UI/UX Test Suite</t>
  </si>
  <si>
    <t>Human-readable test design for review, execution and stakeholder sharing</t>
  </si>
  <si>
    <t>Topic</t>
  </si>
  <si>
    <t>Guidance</t>
  </si>
  <si>
    <t>Applies To</t>
  </si>
  <si>
    <t>Purpose</t>
  </si>
  <si>
    <t>Independent Account UI/UX test-case workbook. Scope: My Account, subscribed-business switching, no-subscription access, chat, connector selection and PDF upload.</t>
  </si>
  <si>
    <t>All sheets</t>
  </si>
  <si>
    <t>Coverage</t>
  </si>
  <si>
    <t>12 current automated cases plus 29 additional manual UI/UX cases.</t>
  </si>
  <si>
    <t>Summary</t>
  </si>
  <si>
    <t>Existing data preserved</t>
  </si>
  <si>
    <t>The runtime workbook test-data/account-data-driven.xlsx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</si>
  <si>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</si>
  <si>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</si>
  <si>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</si>
  <si>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</si>
  <si>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</si>
  <si>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</si>
  <si>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account.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</si>
  <si>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</si>
  <si>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</si>
  <si>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</si>
  <si>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</si>
  <si>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</si>
  <si>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</si>
  <si>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</si>
  <si>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</si>
  <si>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</si>
  <si>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</si>
  <si>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</si>
  <si>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</si>
  <si>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</si>
  <si>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</si>
  <si>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</si>
  <si>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</si>
  <si>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</si>
  <si>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</si>
  <si>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</si>
  <si>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</si>
  <si>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</si>
  <si>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</si>
  <si>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</si>
  <si>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</si>
  <si>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</si>
  <si>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</si>
  <si>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</si>
  <si>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</si>
  <si>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</si>
  <si>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</si>
  <si>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</si>
  <si>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</si>
  <si>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</si>
  <si>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</si>
  <si>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</si>
  <si>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</si>
  <si>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</si>
  <si>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</si>
  <si>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</si>
  <si>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</si>
  <si>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</si>
  <si>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</si>
  <si>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</si>
  <si>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</si>
  <si>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</si>
  <si>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</si>
  <si>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</si>
  <si>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</si>
  <si>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</si>
  <si>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</si>
  <si>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</si>
  <si>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</si>
  <si>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</si>
  <si>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</si>
  <si>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</si>
  <si>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</si>
  <si>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</si>
  <si>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</si>
  <si>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</si>
  <si>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AC-001</t>
  </si>
  <si>
    <t>Account</t>
  </si>
  <si>
    <t>Account authentication and identity</t>
  </si>
  <si>
    <t>Verify the saved login and open My Account</t>
  </si>
  <si>
    <t>Run one authenticated-session check and select My Account before any module flow starts.</t>
  </si>
  <si>
    <t>1. A valid authenticated June storage state is available.</t>
  </si>
  <si>
    <t xml:space="preserve">1. Open the configured June base URL with the saved authenticated storage state.
2. Verify the login page is not shown and the authenticated account menu is available.
3. Open the account menu and select My Account.
4. Verify My Account is the active account context.</t>
  </si>
  <si>
    <t xml:space="preserve">Base Url: {{BASE_URL}}
My Account Label: {{MY_ACCOUNT_LABEL}}</t>
  </si>
  <si>
    <t>The saved login is accepted and My Account becomes the active context without another sign-in.</t>
  </si>
  <si>
    <t>Authentication</t>
  </si>
  <si>
    <t>Positive</t>
  </si>
  <si>
    <t>P1</t>
  </si>
  <si>
    <t>Critical</t>
  </si>
  <si>
    <t>Automated</t>
  </si>
  <si>
    <t>NO</t>
  </si>
  <si>
    <t>Configured DEV / UAT / LIVE</t>
  </si>
  <si>
    <t>Functional, Smoke, Production Smoke, Sanity, Regression, End-to-End, UAT</t>
  </si>
  <si>
    <t>@functional @smoke @prod-smoke @sanity @regression @e2e @uat</t>
  </si>
  <si>
    <t>flow, account, preflight, authentication, my-account</t>
  </si>
  <si>
    <t>account-data-driven.xlsx</t>
  </si>
  <si>
    <t/>
  </si>
  <si>
    <t>AC-004</t>
  </si>
  <si>
    <t>My Account task chat</t>
  </si>
  <si>
    <t>Enter an Excel-driven message in the My Account chat composer</t>
  </si>
  <si>
    <t>Verify the authenticated My Account task accepts the exact dated message supplied by Excel and enables submission.</t>
  </si>
  <si>
    <t xml:space="preserve">1. AC-001 verified the authenticated My Account context.
2. The task chat composer is available.</t>
  </si>
  <si>
    <t xml:space="preserve">1. Open a new task chat while My Account is active.
2. Enter the Excel-driven message containing the current run date and time.
3. Verify the composer contains the exact message.
4. Verify the send action becomes enabled without submitting unintended data.</t>
  </si>
  <si>
    <t>Message: QA My Account chat validation {{RUN_ISO}}</t>
  </si>
  <si>
    <t>The exact Excel-driven message is accepted in the My Account composer and is ready to send.</t>
  </si>
  <si>
    <t>Chat composer</t>
  </si>
  <si>
    <t>Functional, Regression, End-to-End</t>
  </si>
  <si>
    <t>@functional @regression @e2e</t>
  </si>
  <si>
    <t>flow, account, preflight, my-account, chat, data-driven</t>
  </si>
  <si>
    <t>AC-005</t>
  </si>
  <si>
    <t>My Account connected connector</t>
  </si>
  <si>
    <t>Select the connected Excel-driven connector in My Account chat</t>
  </si>
  <si>
    <t>Prove the configured connected connector is offered to My Account, can be selected, and can accompany an Excel-driven message.</t>
  </si>
  <si>
    <t xml:space="preserve">1. AC-001 verified the authenticated My Account context.
2. The connector configured in Account Excel remains connected to My Account.</t>
  </si>
  <si>
    <t xml:space="preserve">1. Open a new task chat while My Account is active.
2. Open Add connector and expand the connected Connectors list.
3. Select the connector named in Account Excel.
4. Verify the selected connector badge and its removal control are visible.
5. Enter the connector message from Excel and verify it is ready to send.</t>
  </si>
  <si>
    <t xml:space="preserve">Connector Name: {{CONNECTED_CONNECTOR}}
Message: QA My Account connected connector validation {{RUN_ISO}}</t>
  </si>
  <si>
    <t>The configured connected connector is available and selected, and the exact connector message is accepted by the composer.</t>
  </si>
  <si>
    <t>Connector integration</t>
  </si>
  <si>
    <t>Functional, Regression, End-to-End, Integration</t>
  </si>
  <si>
    <t>@functional @regression @e2e @integration</t>
  </si>
  <si>
    <t>flow, account, preflight, my-account, connector, integration, data-driven</t>
  </si>
  <si>
    <t>AC-006</t>
  </si>
  <si>
    <t>My Account document upload</t>
  </si>
  <si>
    <t>Upload and submit an Excel-driven PDF from My Account chat</t>
  </si>
  <si>
    <t>Create an active room, generate a non-sensitive PDF from Excel data, attach it, and submit the document message.</t>
  </si>
  <si>
    <t xml:space="preserve">1. AC-001 verified the authenticated My Account context.
2. The task can create a chat room and accepts PDF attachments.</t>
  </si>
  <si>
    <t xml:space="preserve">1. Open a new task chat while My Account is active.
2. Submit the Excel-driven room message and wait for the composer to recover.
3. Generate and attach the PDF name, MIME type and content supplied by Excel.
4. Verify the PDF preview and exact removal control are visible.
5. Submit the Excel-driven upload message with the attachment.
6. Verify the message is accepted, the pending attachment clears and the composer recovers.</t>
  </si>
  <si>
    <t xml:space="preserve">Room Message: QA My Account document room setup {{RUN_ISO}}
File Name: qa-account-upload-{{RUN_STAMP}}.pdf
Mime Type: application/pdf
Document Text: QA Account PDF upload validation {{RUN_ISO}}
Upload Message: Validate the attached QA account document {{RUN_ISO}}
Completion Timeout Ms: 180000</t>
  </si>
  <si>
    <t>The Excel-driven PDF is previewed and submitted from an active My Account room without exposing a real customer document.</t>
  </si>
  <si>
    <t>Document attachment</t>
  </si>
  <si>
    <t>YES</t>
  </si>
  <si>
    <t>flow, account, preflight, my-account, chat, document-upload, pdf, data-driven</t>
  </si>
  <si>
    <t>AC-002</t>
  </si>
  <si>
    <t>Subscribed business switching</t>
  </si>
  <si>
    <t>Switch to subscribed HCL business and verify module navigation</t>
  </si>
  <si>
    <t>Select the recorded HCL business by name and GSTIN and prove subscribed module access.</t>
  </si>
  <si>
    <t xml:space="preserve">1. AC-001 verified the authenticated session in the same run.
2. The recorded HCL business remains linked to the authenticated user.</t>
  </si>
  <si>
    <t xml:space="preserve">1. Open Switch Account from the authenticated account menu.
2. Find the configured HCL business and verify its recorded GSTIN.
3. Select the HCL business and verify its name in the active account menu.
4. Open each configured module used by the downstream flows.
5. Verify subscribed module navigation does not show the Pro Plan access gate.</t>
  </si>
  <si>
    <t xml:space="preserve">Subscribed Business: {{SUBSCRIBED_BUSINESS}}
Subscribed Gstin: {{SUBSCRIBED_GSTIN}}
Navigation Modules: {{RESTRICTED_MODULES}}
Blocked Heading: {{PRO_PLAN_HEADING}}</t>
  </si>
  <si>
    <t>HCL INFOTECH LIMITED becomes active and every configured subscribed module can be opened.</t>
  </si>
  <si>
    <t>Functional, Sanity, Regression, End-to-End, UAT</t>
  </si>
  <si>
    <t>@functional @sanity @regression @e2e @uat</t>
  </si>
  <si>
    <t>flow, account, preflight, switch-account, subscription, navigation</t>
  </si>
  <si>
    <t>AC-007</t>
  </si>
  <si>
    <t>Subscribed business task chat</t>
  </si>
  <si>
    <t>Enter an Excel-driven message in the subscribed HCL chat composer</t>
  </si>
  <si>
    <t>Switch to HCL and verify its task accepts the exact dated chat message supplied by Excel.</t>
  </si>
  <si>
    <t xml:space="preserve">1. The HCL business remains linked to the authenticated user.
2. AC-002 verified subscribed access for HCL.</t>
  </si>
  <si>
    <t xml:space="preserve">1. Switch from My Account to the configured subscribed HCL business.
2. Open a new task chat.
3. Enter the dated HCL message from Excel.
4. Verify the exact value and enabled send action.
5. Restore My Account.</t>
  </si>
  <si>
    <t>Message: QA HCL subscribed business chat validation {{RUN_ISO}}</t>
  </si>
  <si>
    <t>The subscribed HCL task accepts the exact Excel-driven chat message and My Account is restored.</t>
  </si>
  <si>
    <t>flow, account, preflight, subscribed-business, chat, data-driven</t>
  </si>
  <si>
    <t>AC-008</t>
  </si>
  <si>
    <t>Subscribed business connected connector</t>
  </si>
  <si>
    <t>Select the connected Excel-driven connector in subscribed HCL chat</t>
  </si>
  <si>
    <t>Switch to HCL and prove its task exposes and selects the configured connected connector.</t>
  </si>
  <si>
    <t xml:space="preserve">1. The HCL business remains linked and subscribed.
2. The connector configured for HCL remains connected.</t>
  </si>
  <si>
    <t xml:space="preserve">1. Switch to the configured subscribed HCL business.
2. Open a new task chat and the connected Connectors list.
3. Select the HCL connector from Excel.
4. Verify its selected badge and enter the exact connector message.
5. Remove the selection and restore My Account.</t>
  </si>
  <si>
    <t xml:space="preserve">Connector Name: {{SUBSCRIBED_CONNECTED_CONNECTOR}}
Message: QA HCL subscribed connector validation {{RUN_ISO}}</t>
  </si>
  <si>
    <t>The HCL connector is available and selected, its Excel message is accepted, and My Account is restored.</t>
  </si>
  <si>
    <t>flow, account, preflight, subscribed-business, connector, integration, data-driven</t>
  </si>
  <si>
    <t>AC-009</t>
  </si>
  <si>
    <t>Subscribed business document upload</t>
  </si>
  <si>
    <t>Upload and submit an Excel-driven PDF from subscribed HCL chat</t>
  </si>
  <si>
    <t>Switch to HCL, create a room, generate the non-sensitive Excel PDF and submit it from chat.</t>
  </si>
  <si>
    <t xml:space="preserve">1. The HCL business remains linked and subscribed.
2. The HCL task accepts PDF attachments.</t>
  </si>
  <si>
    <t xml:space="preserve">1. Switch to HCL and create a new active chat room.
2. Generate and attach the HCL PDF defined in Excel.
3. Verify the PDF preview and removal control.
4. Submit the upload message and wait for the composer to recover.
5. Restore My Account.</t>
  </si>
  <si>
    <t xml:space="preserve">Room Message: QA HCL document room setup {{RUN_ISO}}
File Name: qa-hcl-upload-{{RUN_STAMP}}.pdf
Mime Type: application/pdf
Document Text: QA HCL PDF upload validation {{RUN_ISO}}
Upload Message: Validate the attached QA HCL document {{RUN_ISO}}
Completion Timeout Ms: 180000</t>
  </si>
  <si>
    <t>The subscribed HCL task submits the synthetic Excel-driven PDF and My Account is restored.</t>
  </si>
  <si>
    <t>flow, account, preflight, subscribed-business, document-upload, pdf, data-driven</t>
  </si>
  <si>
    <t>AC-010</t>
  </si>
  <si>
    <t>No-subscription task chat</t>
  </si>
  <si>
    <t>Enter an Excel-driven message in the USHA no-subscription chat composer</t>
  </si>
  <si>
    <t>Switch to USHA and verify basic task chat remains available even though paid modules are gated.</t>
  </si>
  <si>
    <t xml:space="preserve">1. USHA KANWAR remains linked to the authenticated user.
2. USHA has no active Pro subscription.</t>
  </si>
  <si>
    <t xml:space="preserve">1. Switch from My Account to USHA KANWAR.
2. Open a new task chat.
3. Enter the dated USHA message from Excel.
4. Verify the exact value and enabled send action.
5. Restore My Account.</t>
  </si>
  <si>
    <t>Message: QA USHA no-subscription chat validation {{RUN_ISO}}</t>
  </si>
  <si>
    <t>The USHA task accepts the exact Excel-driven chat message despite paid-module restrictions, then My Account is restored.</t>
  </si>
  <si>
    <t>flow, account, preflight, no-subscription, chat, access-boundary, data-driven</t>
  </si>
  <si>
    <t>AC-011</t>
  </si>
  <si>
    <t>No-subscription chat connector</t>
  </si>
  <si>
    <t>Select the connected Excel-driven connector in USHA chat</t>
  </si>
  <si>
    <t>Verify the chat connector picker remains usable for USHA while Connectors management remains separately subscription-gated.</t>
  </si>
  <si>
    <t xml:space="preserve">1. USHA KANWAR remains linked without a Pro subscription.
2. The configured connector is exposed by the USHA chat picker.</t>
  </si>
  <si>
    <t xml:space="preserve">1. Switch to USHA KANWAR and open a new chat.
2. Open the chat connector picker and select the connector from Excel.
3. Verify the selected badge and exact connector message.
4. Do not treat chat selection as permission to open the paid Connectors module.
5. Remove the selection and restore My Account.</t>
  </si>
  <si>
    <t xml:space="preserve">Connector Name: {{NO_SUBSCRIPTION_CONNECTED_CONNECTOR}}
Message: QA USHA chat connector validation {{RUN_ISO}}</t>
  </si>
  <si>
    <t>USHA can select the configured connector inside chat, while the separate paid-module gate remains covered by AC-003.</t>
  </si>
  <si>
    <t>flow, account, preflight, no-subscription, connector, access-boundary, data-driven</t>
  </si>
  <si>
    <t>AC-012</t>
  </si>
  <si>
    <t>No-subscription document upload</t>
  </si>
  <si>
    <t>Upload and submit an Excel-driven PDF from USHA chat</t>
  </si>
  <si>
    <t>Verify the basic USHA chat can create a room and submit a synthetic PDF without granting paid-module access.</t>
  </si>
  <si>
    <t xml:space="preserve">1. USHA KANWAR remains linked without a Pro subscription.
2. Basic task chat remains available.</t>
  </si>
  <si>
    <t xml:space="preserve">1. Switch to USHA KANWAR and create a new active chat room.
2. Generate and attach the USHA PDF defined in Excel.
3. Verify the PDF preview and removal control.
4. Submit the upload message and wait for the composer to recover.
5. Restore My Account without activating a subscription.</t>
  </si>
  <si>
    <t xml:space="preserve">Room Message: QA USHA document room setup {{RUN_ISO}}
File Name: qa-usha-upload-{{RUN_STAMP}}.pdf
Mime Type: application/pdf
Document Text: QA USHA PDF upload validation {{RUN_ISO}}
Upload Message: Validate the attached QA USHA document {{RUN_ISO}}
Completion Timeout Ms: 180000</t>
  </si>
  <si>
    <t>The USHA task submits the synthetic Excel-driven PDF, does not activate a subscription, and restores My Account.</t>
  </si>
  <si>
    <t>flow, account, preflight, no-subscription, document-upload, pdf, access-boundary, data-driven</t>
  </si>
  <si>
    <t>AC-003</t>
  </si>
  <si>
    <t>No-subscription access control</t>
  </si>
  <si>
    <t>Verify the USHA no-subscription gate and restore My Account</t>
  </si>
  <si>
    <t>Confirm restricted modules show the Pro Plan gate for USHA KANWAR, then restore My Account for later tests.</t>
  </si>
  <si>
    <t xml:space="preserve">1. A valid authenticated June session is available.
2. USHA KANWAR remains linked to the user and has no active Pro subscription.</t>
  </si>
  <si>
    <t xml:space="preserve">1. Open Switch Account and select USHA KANWAR.
2. Open every configured restricted module.
3. Verify each restricted module shows the Pro Plan heading and activation action.
4. Do not activate a trial or start checkout.
5. Open the account menu and select My Account.
6. Verify My Account is restored as the active context for downstream module tests.</t>
  </si>
  <si>
    <t xml:space="preserve">No Subscription Business: {{NO_SUBSCRIPTION_BUSINESS}}
Restricted Modules: {{RESTRICTED_MODULES}}
Pro Plan Heading: {{PRO_PLAN_HEADING}}
Pro Plan Cta: {{PRO_PLAN_CTA}}
Restore Account Label: {{MY_ACCOUNT_LABEL}}
Activate Subscription: false</t>
  </si>
  <si>
    <t>USHA KANWAR is gated from every restricted module and My Account is restored without changing a subscription.</t>
  </si>
  <si>
    <t>Positive + Negative</t>
  </si>
  <si>
    <t>flow, account, preflight, switch-account, no-subscription, access-control, restore</t>
  </si>
  <si>
    <t>Test Data / Viewport</t>
  </si>
  <si>
    <t>UX Category</t>
  </si>
  <si>
    <t>Review Method</t>
  </si>
  <si>
    <t>Recommended Environment</t>
  </si>
  <si>
    <t>Status</t>
  </si>
  <si>
    <t>Actual Result</t>
  </si>
  <si>
    <t>Executed By</t>
  </si>
  <si>
    <t>Executed On</t>
  </si>
  <si>
    <t>Defect ID</t>
  </si>
  <si>
    <t>Remarks</t>
  </si>
  <si>
    <t>AC-UX-001</t>
  </si>
  <si>
    <t>Account menu</t>
  </si>
  <si>
    <t>Active account context is visually clear</t>
  </si>
  <si>
    <t>Confirm that a user can immediately identify the active account and understand the available account actions.</t>
  </si>
  <si>
    <t xml:space="preserve">1. The user is authenticated and the Task page is open in My Account.
2. The account trigger is visible in the application shell.</t>
  </si>
  <si>
    <t xml:space="preserve">1. Inspect the account trigger without interacting with it.
2. Hover over the trigger and then focus it with the keyboard.
3. Open the account menu.
4. Inspect the My Account and Switch Account actions and their relationship to the active account label.</t>
  </si>
  <si>
    <t>Account context: My Account; viewport: 1440 x 900; browser zoom: 100%.</t>
  </si>
  <si>
    <t>The active account name is readable and unambiguous, the trigger has distinct hover and focus states, and the menu actions have clear labels, spacing and hierarchy without clipping or overlap.</t>
  </si>
  <si>
    <t>UI</t>
  </si>
  <si>
    <t>Desktop visual inspection with baseline screenshot comparison at 1440 x 900.</t>
  </si>
  <si>
    <t>Major</t>
  </si>
  <si>
    <t>DEV, UAT and LIVE (safe visual review)</t>
  </si>
  <si>
    <t>Non-Functional, Regression</t>
  </si>
  <si>
    <t>@non-functional @regression @account @manual @ui</t>
  </si>
  <si>
    <t>Not Run</t>
  </si>
  <si>
    <t>AC-UX-002</t>
  </si>
  <si>
    <t>Account menu dismisses predictably and returns focus</t>
  </si>
  <si>
    <t>Verify that the account menu can be opened, navigated and dismissed without losing keyboard position.</t>
  </si>
  <si>
    <t xml:space="preserve">1. The user is authenticated and the account trigger is visible.
2. No other modal or menu is open.</t>
  </si>
  <si>
    <t xml:space="preserve">1. Focus the account trigger with Tab and open it with Enter or Space.
2. Move through the menu items using the keyboard.
3. Press Escape and note the resulting focus position.
4. Reopen the menu, click outside it and inspect the closed state.</t>
  </si>
  <si>
    <t>Keyboard inputs: Tab, Shift+Tab, Enter, Space and Escape; pointer outside-click.</t>
  </si>
  <si>
    <t>The menu opens and closes once per action, Escape and outside-click dismiss it, keyboard focus stays visible, and focus returns to the account trigger without a keyboard trap.</t>
  </si>
  <si>
    <t>Accessibility</t>
  </si>
  <si>
    <t>Keyboard-only review followed by a screen-reader focus announcement check at 1440 x 900.</t>
  </si>
  <si>
    <t>DEV, UAT and LIVE (safe interaction)</t>
  </si>
  <si>
    <t>Non-Functional, Regression, Accessibility</t>
  </si>
  <si>
    <t>@non-functional @regression @a11y @accessibility @account @manual</t>
  </si>
  <si>
    <t>AC-UX-003</t>
  </si>
  <si>
    <t>Business switcher</t>
  </si>
  <si>
    <t>Business identities have a clear information hierarchy</t>
  </si>
  <si>
    <t>Ensure that users can distinguish business entries and the currently active account without ambiguity.</t>
  </si>
  <si>
    <t xml:space="preserve">1. The authenticated user has My Account, HCL INFOTECH LIMITED and USHA KANWAR available.
2. The Switch Account dialog can be opened.</t>
  </si>
  <si>
    <t xml:space="preserve">1. Open Switch Account.
2. Inspect the Select Business heading, search control and business list.
3. Compare the placement of each business name and its identifier.
4. Inspect how the current account is distinguished from the other entries.</t>
  </si>
  <si>
    <t>Businesses: HCL INFOTECH LIMITED (GSTIN 02AADCH0305F1ZI) and USHA KANWAR.</t>
  </si>
  <si>
    <t>The heading, search field, business names and identifiers form a clear hierarchy, each identifier is associated with the correct business, and the active context is identifiable without relying on colour alone.</t>
  </si>
  <si>
    <t>Desktop visual review and screenshot annotation at 1440 x 900.</t>
  </si>
  <si>
    <t>AC-UX-004</t>
  </si>
  <si>
    <t>Business switcher search</t>
  </si>
  <si>
    <t>Business search matching and reset are understandable</t>
  </si>
  <si>
    <t>Assess whether users can locate a business using realistic partial, case-varied and identifier searches and then reset the list.</t>
  </si>
  <si>
    <t xml:space="preserve">1. The Switch Account dialog contains at least HCL INFOTECH LIMITED and USHA KANWAR.
2. The business search control is enabled.</t>
  </si>
  <si>
    <t xml:space="preserve">1. Search for HCL using a partial business name.
2. Repeat the search using lower-case text.
3. Search for 02AADCH0305F1ZI if identifier search is supported by the product.
4. Clear the search using the visible clear affordance or keyboard.</t>
  </si>
  <si>
    <t>Search values: HCL, hcl, 02AADCH0305F1ZI.</t>
  </si>
  <si>
    <t>Results follow the documented matching rules without disruptive layout movement, matching text remains readable, and clearing the value restores the complete business list and input state.</t>
  </si>
  <si>
    <t>UX</t>
  </si>
  <si>
    <t>Manual interaction review at 1440 x 900 with before, filtered and reset screenshots.</t>
  </si>
  <si>
    <t>DEV and UAT</t>
  </si>
  <si>
    <t>@non-functional @regression @account @manual @ux</t>
  </si>
  <si>
    <t>AC-UX-005</t>
  </si>
  <si>
    <t>No-result search provides a useful empty state</t>
  </si>
  <si>
    <t>Verify that an unmatched business search explains the situation and offers an obvious recovery path.</t>
  </si>
  <si>
    <t xml:space="preserve">1. The Switch Account dialog is open.
2. The search control accepts text.</t>
  </si>
  <si>
    <t xml:space="preserve">1. Enter a unique business value that cannot match an available account.
2. Inspect the result area and any status message.
3. Use the available control or keyboard to clear the value.
4. Confirm that the original business list returns.</t>
  </si>
  <si>
    <t>No-match value: ZZ_NO_BUSINESS_927451.</t>
  </si>
  <si>
    <t>A clear no-business-found message replaces the results, no account can be selected accidentally, no perpetual loader appears, and clearing the search restores the original list.</t>
  </si>
  <si>
    <t>Error state</t>
  </si>
  <si>
    <t>Manual empty-state review at 375 x 812 and 1440 x 900.</t>
  </si>
  <si>
    <t>DEV, UAT and LIVE (safe search only)</t>
  </si>
  <si>
    <t>@non-functional @regression @account @error-state @manual</t>
  </si>
  <si>
    <t>AC-UX-006</t>
  </si>
  <si>
    <t>Business switcher list</t>
  </si>
  <si>
    <t>Long business names and large lists remain usable</t>
  </si>
  <si>
    <t>Validate scrolling, wrapping and full-value discovery when account content exceeds the normal layout.</t>
  </si>
  <si>
    <t xml:space="preserve">1. A test fixture with a long business name and enough business entries to require scrolling is available.
2. The Switch Account dialog is open.</t>
  </si>
  <si>
    <t xml:space="preserve">1. Inspect the long business name and its identifier at 100 percent zoom.
2. Scroll from the first to the last business entry.
3. Increase browser zoom to 200 percent.
4. Repeat the inspection and scroll actions.</t>
  </si>
  <si>
    <t>Prepared account fixture: one business name longer than 80 characters and at least 15 business entries.</t>
  </si>
  <si>
    <t>The list scrolls inside its intended container, search and dialog controls remain reachable, and long names wrap or truncate with an accessible way to obtain the complete value without overlapping another entry.</t>
  </si>
  <si>
    <t>Responsive</t>
  </si>
  <si>
    <t>Visual and keyboard review at 1440 x 900 using 100 percent and 200 percent browser zoom.</t>
  </si>
  <si>
    <t>P2</t>
  </si>
  <si>
    <t>DEV and UAT with prepared fixture data</t>
  </si>
  <si>
    <t>Non-Functional, Regression, Accessibility, Responsive</t>
  </si>
  <si>
    <t>@non-functional @regression @a11y @responsive @account @manual</t>
  </si>
  <si>
    <t>AC-UX-007</t>
  </si>
  <si>
    <t>A business can be located and selected by keyboard</t>
  </si>
  <si>
    <t>Confirm that a keyboard-only user can operate the switcher and understand the selected result.</t>
  </si>
  <si>
    <t xml:space="preserve">1. The user has at least two available account contexts.
2. The account trigger has keyboard focus.</t>
  </si>
  <si>
    <t xml:space="preserve">1. Open Switch Account without using a pointer.
2. Move focus to search and enter the target business name.
3. Navigate through the filtered results using supported keyboard keys.
4. Select the target and observe focus and announcement after the switch.</t>
  </si>
  <si>
    <t>Target business: HCL INFOTECH LIMITED; keyboard only.</t>
  </si>
  <si>
    <t>Every control is reachable in a logical order, focus remains visible, the selected business is announced, the dialog closes correctly, and focus moves to a meaningful element in the updated account context.</t>
  </si>
  <si>
    <t>Keyboard-only and screen-reader review at 1440 x 900.</t>
  </si>
  <si>
    <t>AC-UX-008</t>
  </si>
  <si>
    <t>Business switching feedback</t>
  </si>
  <si>
    <t>Switching progress prevents duplicate account changes</t>
  </si>
  <si>
    <t>Ensure that delayed switching provides visible feedback and repeated input cannot initiate duplicate operations.</t>
  </si>
  <si>
    <t xml:space="preserve">1. The user has at least two business contexts.
2. Browser network throttling is available.</t>
  </si>
  <si>
    <t xml:space="preserve">1. Apply a slow network profile.
2. Select a different business in the switcher.
3. Attempt repeated clicks or Enter presses while switching is in progress.
4. Observe the account label and page state until the operation completes.</t>
  </si>
  <si>
    <t>Target business: HCL INFOTECH LIMITED; network profile: Slow 3G or equivalent.</t>
  </si>
  <si>
    <t>Only one switch is processed, a visible progress state appears, repeated input is safely ignored or disabled, and old and new account labels are never shown as conflicting active contexts.</t>
  </si>
  <si>
    <t>Manual interaction using browser network throttling with video capture.</t>
  </si>
  <si>
    <t>AC-UX-009</t>
  </si>
  <si>
    <t>A failed business switch preserves the previous context</t>
  </si>
  <si>
    <t>Verify that a switch failure is understandable, recoverable and never leaves a partially changed account context.</t>
  </si>
  <si>
    <t xml:space="preserve">1. The user starts in a known active account.
2. The business-switch request can be safely failed or timed out in the test environment.</t>
  </si>
  <si>
    <t xml:space="preserve">1. Record the currently active account name.
2. Simulate a server error or timeout for the next switch request.
3. Attempt to select another business.
4. Inspect the error, active account label, page content and available recovery action.</t>
  </si>
  <si>
    <t>Failure modes: HTTP 500 and request timeout; source context: My Account; target: HCL INFOTECH LIMITED.</t>
  </si>
  <si>
    <t>A concise error explains that switching failed, the previous account remains visibly and functionally active, no target-account content leaks into the page, and Retry or Dismiss is keyboard accessible.</t>
  </si>
  <si>
    <t>Controlled request-failure simulation with visual, keyboard and state-consistency review.</t>
  </si>
  <si>
    <t>P0</t>
  </si>
  <si>
    <t>DEV only</t>
  </si>
  <si>
    <t>@non-functional @regression @a11y @account @error-state @manual</t>
  </si>
  <si>
    <t>AC-UX-010</t>
  </si>
  <si>
    <t>Account context persistence</t>
  </si>
  <si>
    <t>Refresh and browser history never make the active context ambiguous</t>
  </si>
  <si>
    <t>Prevent a user from acting in an unintended business after refresh or browser-history navigation.</t>
  </si>
  <si>
    <t xml:space="preserve">1. The authenticated user can access My Account and HCL INFOTECH LIMITED.
2. The active account label is visible in the application shell.</t>
  </si>
  <si>
    <t xml:space="preserve">1. Start in HCL INFOTECH LIMITED and note the account label.
2. Refresh the page.
3. Navigate from Task to an available module.
4. Use browser Back and Forward and compare the account label with visible page content after each transition.</t>
  </si>
  <si>
    <t>Account contexts: My Account and HCL INFOTECH LIMITED; one subscribed module route.</t>
  </si>
  <si>
    <t>The account context follows the documented persistence rule, remains continuously visible, and never disagrees with the business data or module content displayed after refresh, Back or Forward.</t>
  </si>
  <si>
    <t>Manual refresh and browser-history review with account-label screenshots after every transition.</t>
  </si>
  <si>
    <t>DEV, UAT and LIVE (safe navigation)</t>
  </si>
  <si>
    <t>AC-UX-011</t>
  </si>
  <si>
    <t>Business switcher layout</t>
  </si>
  <si>
    <t>Business switcher remains usable on mobile and tablet</t>
  </si>
  <si>
    <t>Verify that the switcher reflows correctly and remains operable when viewport space is limited.</t>
  </si>
  <si>
    <t xml:space="preserve">1. The account trigger and Switch Account action are available.
2. Mobile and tablet viewport emulation is available.</t>
  </si>
  <si>
    <t xml:space="preserve">1. Open the switcher at 375 x 812.
2. Focus search and inspect the layout with the virtual keyboard displayed.
3. Scroll the results and dismiss the switcher.
4. Repeat at 768 x 1024 and 1440 x 900.</t>
  </si>
  <si>
    <t>Viewports: 375 x 812, 768 x 1024 and 1440 x 900; portrait orientation.</t>
  </si>
  <si>
    <t>The dialog stays inside the viewport, search and results remain reachable above the virtual keyboard, close and selection controls remain usable, and no horizontal page scrolling occurs.</t>
  </si>
  <si>
    <t>Device-emulation review with screenshots at mobile, tablet and desktop breakpoints.</t>
  </si>
  <si>
    <t>Non-Functional, Regression, Responsive</t>
  </si>
  <si>
    <t>@non-functional @regression @responsive @account @manual</t>
  </si>
  <si>
    <t>AC-UX-012</t>
  </si>
  <si>
    <t>Task empty state</t>
  </si>
  <si>
    <t>New-chat layout is consistent across account contexts</t>
  </si>
  <si>
    <t>Compare the initial Task presentation across personal, subscribed and no-subscription contexts without repeating message submission.</t>
  </si>
  <si>
    <t xml:space="preserve">1. My Account, HCL INFOTECH LIMITED and USHA KANWAR are available.
2. A new chat can be opened in each context.</t>
  </si>
  <si>
    <t xml:space="preserve">1. Open a new chat in My Account and capture the initial layout.
2. Repeat in HCL INFOTECH LIMITED.
3. Repeat in USHA KANWAR.
4. Compare the empty state, account label, Ask anything composer and surrounding controls.</t>
  </si>
  <si>
    <t>Contexts: My Account, HCL INFOTECH LIMITED and USHA KANWAR; no message submitted.</t>
  </si>
  <si>
    <t>Visual hierarchy, spacing and terminology are consistent, the current account is always visible, the composer is prominent, and no connector, attachment or content from a previous account remains.</t>
  </si>
  <si>
    <t>Side-by-side screenshot comparison at 1440 x 900 and 375 x 812.</t>
  </si>
  <si>
    <t>AC-UX-013</t>
  </si>
  <si>
    <t>Multiline and difficult text remains readable in the composer</t>
  </si>
  <si>
    <t>Validate wrapping, resizing and editing when composer content exceeds a single line.</t>
  </si>
  <si>
    <t xml:space="preserve">1. A new Task chat is open.
2. The Ask anything composer is enabled.</t>
  </si>
  <si>
    <t xml:space="preserve">1. Enter three lines using the supported newline shortcut.
2. Add a long unbroken string and a long URL.
3. Add punctuation, accented characters and emoji.
4. Continue entering text until the composer reaches its maximum visible height, then edit text near the beginning.</t>
  </si>
  <si>
    <t>Three-line paragraph; 200-character unbroken token; long HTTPS URL; text containing en dash, accented letters and emoji.</t>
  </si>
  <si>
    <t>All characters remain visible and editable, content wraps or scrolls inside the composer, the caret can reach earlier content, and connector, attachment and Send controls are never overlapped or pushed off-screen.</t>
  </si>
  <si>
    <t>Manual typing and visual review at 375 x 812 and 1440 x 900.</t>
  </si>
  <si>
    <t>AC-UX-014</t>
  </si>
  <si>
    <t>Blank input and keyboard submission rules are clear</t>
  </si>
  <si>
    <t>Confirm that enabled states and Enter versus newline behaviour are predictable and accessible.</t>
  </si>
  <si>
    <t xml:space="preserve">1. A new Task chat is open.
2. No attachment or connector is selected.</t>
  </si>
  <si>
    <t xml:space="preserve">1. Inspect Send with an empty composer.
2. Enter spaces only and attempt to submit.
3. Enter valid text and inspect the enabled state.
4. Compare Enter and Shift+Enter behaviour using disposable test text.</t>
  </si>
  <si>
    <t>Inputs: empty string, three spaces, Valid keyboard message, and a two-line message.</t>
  </si>
  <si>
    <t>Empty and whitespace-only content cannot be submitted, enabled and disabled states are visually and programmatically distinguishable, and Enter and Shift+Enter consistently follow the documented send and newline rules.</t>
  </si>
  <si>
    <t>Keyboard-only interaction review with control-state inspection at 1440 x 900.</t>
  </si>
  <si>
    <t>@non-functional @regression @a11y @account @manual @ux</t>
  </si>
  <si>
    <t>AC-UX-015</t>
  </si>
  <si>
    <t>Chat response feedback</t>
  </si>
  <si>
    <t>Response progress is visible and announced</t>
  </si>
  <si>
    <t>Assess whether sighted and assistive-technology users can understand that a response is being generated and when it finishes.</t>
  </si>
  <si>
    <t xml:space="preserve">1. A new Task chat is open.
2. The chat service is available.</t>
  </si>
  <si>
    <t xml:space="preserve">1. Submit a safe disposable test message.
2. Observe the visual state while the response is pending or streaming.
3. Navigate the page with the keyboard while processing continues.
4. Use a screen reader to inspect status announcements and observe the completed state.</t>
  </si>
  <si>
    <t>Message: Explain this QA progress check in one sentence.</t>
  </si>
  <si>
    <t>A distinct progress state communicates that processing is active, duplicate submission is prevented, status changes are announced without excessive repetition, and completion restores a clearly usable composer with logical focus.</t>
  </si>
  <si>
    <t>Visual, keyboard and screen-reader review with video capture at 1440 x 900.</t>
  </si>
  <si>
    <t>AC-UX-016</t>
  </si>
  <si>
    <t>Failed chat submission preserves user work and supports retry</t>
  </si>
  <si>
    <t>Ensure that a network or server failure does not silently discard the user message or create duplicates during recovery.</t>
  </si>
  <si>
    <t xml:space="preserve">1. A new Task chat is open.
2. The next chat request can be safely failed in the test environment.</t>
  </si>
  <si>
    <t xml:space="preserve">1. Enter a unique disposable message.
2. Simulate an offline or server-error condition and submit it.
3. Inspect the error placement, wording and retained message state.
4. Restore connectivity and use Retry or resubmit once.</t>
  </si>
  <si>
    <t>Message: QA failed-message recovery 927451; failure modes: offline and HTTP 500.</t>
  </si>
  <si>
    <t>The error appears near the failed action in understandable language, user text is retained or recoverable, Retry is keyboard accessible, and successful recovery creates exactly one final user message.</t>
  </si>
  <si>
    <t>Controlled offline and request-failure simulation with message-count and focus review.</t>
  </si>
  <si>
    <t>AC-UX-017</t>
  </si>
  <si>
    <t>Connector picker</t>
  </si>
  <si>
    <t>Add connector menu is discoverable and keyboard structured</t>
  </si>
  <si>
    <t>Review the connector picker hierarchy and keyboard semantics without repeating the automated happy-path selection.</t>
  </si>
  <si>
    <t xml:space="preserve">1. A new Task chat is open.
2. At least one connector is connected to the current context.</t>
  </si>
  <si>
    <t xml:space="preserve">1. Focus the Add connector control and inspect its accessible name.
2. Open the menu using the keyboard.
3. Navigate into and out of the Connectors submenu.
4. Close the menu with Escape and inspect the returned focus position.</t>
  </si>
  <si>
    <t>Connected connector: Exa; keyboard inputs: Tab, Enter, arrow keys and Escape.</t>
  </si>
  <si>
    <t>The Add connector control has a clear name and state, submenu relationships are understandable, all entries are reachable with supported keyboard navigation, the menu is not clipped, and Escape returns focus to Add connector.</t>
  </si>
  <si>
    <t>AC-UX-018</t>
  </si>
  <si>
    <t>Selected connector badge</t>
  </si>
  <si>
    <t>Long connector names do not break the composer</t>
  </si>
  <si>
    <t>Validate connector-badge overflow, full-name access and focus behaviour at narrow widths.</t>
  </si>
  <si>
    <t xml:space="preserve">1. A test connector with a long display name is available.
2. A new Task chat is open.</t>
  </si>
  <si>
    <t xml:space="preserve">1. Select the long-name connector.
2. Inspect its badge at desktop and mobile widths.
3. Focus the connector removal control and obtain its accessible name.
4. Remove the connector and inspect the resulting focus position and composer layout.</t>
  </si>
  <si>
    <t>Prepared connector display name longer than 50 characters; viewports: 375 x 812 and 1440 x 900.</t>
  </si>
  <si>
    <t>The badge stays inside the composer, never covers text, attachment or Send controls, exposes the complete connector name accessibly, and returns focus to a predictable composer control after removal.</t>
  </si>
  <si>
    <t>Mobile, desktop and 200 percent zoom visual review plus keyboard focus inspection.</t>
  </si>
  <si>
    <t>AC-UX-019</t>
  </si>
  <si>
    <t>Connector picker empty state</t>
  </si>
  <si>
    <t>No-connected-connectors state explains the next action</t>
  </si>
  <si>
    <t>Verify that an account with no available connector receives useful, subscription-aware guidance.</t>
  </si>
  <si>
    <t xml:space="preserve">1. A test account with no connected connectors is available.
2. A new Task chat is open for that account.</t>
  </si>
  <si>
    <t xml:space="preserve">1. Open Add connector.
2. Open the Connectors section.
3. Inspect the empty-state text and any setup action.
4. Use keyboard navigation to close the empty state and return to the composer.</t>
  </si>
  <si>
    <t>Prepared account fixture with zero connected connectors; include subscribed and no-subscription variants when available.</t>
  </si>
  <si>
    <t>A purposeful empty state explains that no connector is connected, no unavailable item can be selected, any setup action has a clear accessible label and respects subscription access, and the user can return to chat.</t>
  </si>
  <si>
    <t>Manual visual and keyboard review at 1440 x 900 and 375 x 812.</t>
  </si>
  <si>
    <t>AC-UX-020</t>
  </si>
  <si>
    <t>PDF attachment preview</t>
  </si>
  <si>
    <t>A long PDF filename remains understandable and removable</t>
  </si>
  <si>
    <t>Assess attachment-preview layout with a filename that exceeds the normal composer width.</t>
  </si>
  <si>
    <t xml:space="preserve">1. An active chat room is open.
2. A valid non-sensitive PDF with a long filename is available.</t>
  </si>
  <si>
    <t xml:space="preserve">1. Attach the long-name PDF without submitting it.
2. Inspect the preview at desktop width.
3. Resize to mobile width and zoom to 200 percent.
4. Inspect and activate the attachment removal control.</t>
  </si>
  <si>
    <t>File: qa-quarterly-account-review-supporting-document-version-2026-09-21-final.pdf; MIME type: application/pdf.</t>
  </si>
  <si>
    <t>The preview remains inside the composer, the PDF extension and enough of the name remain identifiable, the complete filename is available to assistive technology, and the Remove control stays visible and operable.</t>
  </si>
  <si>
    <t>Visual and screen-reader review at 1440 x 900, 375 x 812 and 200 percent zoom.</t>
  </si>
  <si>
    <t>AC-UX-021</t>
  </si>
  <si>
    <t>Attachment validation</t>
  </si>
  <si>
    <t>Unsupported file types are rejected with corrective guidance</t>
  </si>
  <si>
    <t>Verify that invalid attachment types cannot enter the chat and that users understand the supported format.</t>
  </si>
  <si>
    <t xml:space="preserve">1. An active chat room is open.
2. Safe sample files of unsupported types are available.</t>
  </si>
  <si>
    <t xml:space="preserve">1. Attempt to attach a PNG image.
2. Attempt to attach a TXT file and a renamed non-PDF file with a PDF extension.
3. Inspect validation placement, wording and accessible association.
4. Attach a valid PDF to confirm recovery from the error state.</t>
  </si>
  <si>
    <t>Files: sample.png, sample.txt, renamed-content.pdf with non-PDF signature, and valid-sample.pdf.</t>
  </si>
  <si>
    <t>Unsupported or disguised files are not attached or submitted, feedback identifies the accepted format and corrective action, the error is associated with the upload control, and a later valid PDF can be attached normally.</t>
  </si>
  <si>
    <t>Negative-file interaction review with accessibility-tree inspection at 1440 x 900.</t>
  </si>
  <si>
    <t>AC-UX-022</t>
  </si>
  <si>
    <t>Empty, corrupt and oversized PDFs show specific limits</t>
  </si>
  <si>
    <t>Confirm that PDF boundary failures are explained without leaving a broken preview or endless loading state.</t>
  </si>
  <si>
    <t xml:space="preserve">1. An active chat room is open.
2. The documented maximum attachment size is known for the environment.</t>
  </si>
  <si>
    <t xml:space="preserve">1. Attempt to attach a zero-byte PDF.
2. Attempt to attach a corrupt PDF and a password-protected PDF if unsupported.
3. Attempt to attach a PDF just above the documented maximum size.
4. Inspect each message and the composer state after rejection.</t>
  </si>
  <si>
    <t>Files: empty.pdf (0 bytes), corrupt.pdf, protected.pdf, and oversize.pdf at documented maximum plus 1 byte.</t>
  </si>
  <si>
    <t>Each invalid file is rejected safely with a specific nontechnical explanation, the permitted size is stated for an oversized file, and no broken preview, stale filename or indefinite spinner remains.</t>
  </si>
  <si>
    <t>Boundary-file review with screenshots and browser-console observation at 1440 x 900.</t>
  </si>
  <si>
    <t>AC-UX-023</t>
  </si>
  <si>
    <t>Attachment upload feedback</t>
  </si>
  <si>
    <t>Interrupted PDF upload preserves the message and supports recovery</t>
  </si>
  <si>
    <t>Ensure that upload interruption does not lose drafted text or create duplicate attachment previews.</t>
  </si>
  <si>
    <t xml:space="preserve">1. An active chat room is open.
2. A valid non-sensitive PDF and network-throttling controls are available.</t>
  </si>
  <si>
    <t xml:space="preserve">1. Enter a unique upload message and attach the valid PDF.
2. Start submission under a throttled network.
3. Interrupt connectivity during the upload or processing stage.
4. Restore connectivity and use the available Retry or Remove action.</t>
  </si>
  <si>
    <t>File: qa-interrupted-upload.pdf; message: QA interrupted upload recovery 927451; network profile: Slow 3G then Offline.</t>
  </si>
  <si>
    <t>Progress is visible, failure is distinguishable from normal processing, the drafted message remains recoverable, Retry or Remove succeeds, and recovery never creates duplicate previews or duplicate messages.</t>
  </si>
  <si>
    <t>Throttled and offline network review with video capture and final message-count check.</t>
  </si>
  <si>
    <t>AC-UX-024</t>
  </si>
  <si>
    <t>Subscription gate</t>
  </si>
  <si>
    <t>Pro Plan gate is consistent, accessible and safe to leave</t>
  </si>
  <si>
    <t>Review the presentation and accessibility of the no-subscription gate without repeating automated authorization checks or activating a trial.</t>
  </si>
  <si>
    <t xml:space="preserve">1. USHA KANWAR is available and has no active Pro subscription.
2. No tester will activate the free trial or enter checkout.</t>
  </si>
  <si>
    <t xml:space="preserve">1. Open each restricted module while USHA KANWAR is active.
2. Compare the Pro Plan heading, Full access for your business copy, benefits and activation action.
3. Navigate the page using keyboard only and inspect accessible names.
4. Review the gate at 375 x 812 and 200 percent zoom, then leave without activating.</t>
  </si>
  <si>
    <t>Modules: Agents, Tools, Connectors, Knowledge, Guardrails and UI Components; CTA: Activate (30days free trial).</t>
  </si>
  <si>
    <t>Every module presents a consistent gate, heading and CTA purpose are clear, focus does not activate the trial, all content reflows without clipping, colour is not the only information cue, and a clear safe route returns the user to Task.</t>
  </si>
  <si>
    <t>Cross-module visual, keyboard and screen-reader review at desktop, mobile and 200 percent zoom.</t>
  </si>
  <si>
    <t>DEV, UAT and LIVE (safe review; never activate)</t>
  </si>
  <si>
    <t>@non-functional @regression @a11y @responsive @accessibility @account @manual</t>
  </si>
  <si>
    <t>AC-UX-025</t>
  </si>
  <si>
    <t>Account journey compatibility</t>
  </si>
  <si>
    <t>Account and Task controls render consistently in supported browsers</t>
  </si>
  <si>
    <t>Identify browser-specific layout, focus, scrolling and native-upload differences across the Account journey.</t>
  </si>
  <si>
    <t xml:space="preserve">1. The supported desktop browsers are installed at approved versions.
2. The same authenticated test account and test data are available in each browser.</t>
  </si>
  <si>
    <t xml:space="preserve">1. In each supported browser, inspect the account menu and business switcher.
2. Inspect the chat composer, connector menu and a pending PDF preview.
3. Inspect the Pro Plan gate without activating it.
4. Compare screenshots, keyboard focus, menu positioning, scrolling and native file-control behaviour.</t>
  </si>
  <si>
    <t>Browsers: latest supported Chrome, Edge and Firefox; viewport: 1440 x 900; connector: Exa; safe PDF fixture.</t>
  </si>
  <si>
    <t>Supported browsers provide equivalent readable layouts and operable controls, focus indicators remain visible, menus and scrolling behave consistently, and no browser introduces clipped content or inaccessible upload controls.</t>
  </si>
  <si>
    <t>Compatibility</t>
  </si>
  <si>
    <t>Cross-browser screenshot comparison plus a keyboard interaction pass at 1440 x 900.</t>
  </si>
  <si>
    <t>DEV and UAT; LIVE limited to non-destructive visual smoke review</t>
  </si>
  <si>
    <t>Non-Functional, Regression, Accessibility, Compatibility</t>
  </si>
  <si>
    <t>@non-functional @regression @a11y @compatibility @account @manual</t>
  </si>
  <si>
    <t>AC-UX-026</t>
  </si>
  <si>
    <t>Account journey UI performance</t>
  </si>
  <si>
    <t>Account switching and Task controls meet measurable interaction budgets</t>
  </si>
  <si>
    <t>Measure the user-visible responsiveness and layout stability of the account menu, business switcher, search and restored Task context under a repeatable browser profile.</t>
  </si>
  <si>
    <t xml:space="preserve">1. A production-like UAT data set exposes My Account, HCL INFOTECH LIMITED and USHA KANWAR.
2. Chrome DevTools Performance recording is available with cache disabled and no unrelated extensions running.
3. The test machine, browser version, network profile and build identifier are recorded before execution.</t>
  </si>
  <si>
    <t xml:space="preserve">1. Run one unmeasured warm-up, then record ten measured cycles at 1440 x 900 using Fast 4G and 4x CPU slowdown.
2. In each cycle, measure account-trigger activation to a fully painted menu and Switch Account activation to a fully painted, usable business dialog.
3. Measure a business-search keystroke to stable filtered results and business selection to a visible, interactive Task with the correct account label.
4. Record cumulative layout shift, any main-thread task longer than 200 ms, failures and p50/p95 timing for every action.
5. Compare the measured p95 values with the budgets and attach the trace for any breach.</t>
  </si>
  <si>
    <t>Chrome stable; 1440 x 900; Fast 4G; 4x CPU slowdown; 1 warm-up plus 10 measured cycles; budgets: menu &lt;=200 ms, switcher &lt;=500 ms, search update &lt;=300 ms, completed account switch &lt;=2500 ms, CLS &lt;=0.10, zero main-thread tasks &gt;200 ms caused by the tested interaction.</t>
  </si>
  <si>
    <t>Every action succeeds in all ten measured cycles; p95 menu, switcher, search and completed-switch timings are within their stated budgets; cumulative layout shift does not exceed 0.10; no tested action creates a main-thread task over 200 ms; and every breach is reported with the exact measurement and trace rather than averaged away.</t>
  </si>
  <si>
    <t>Performance</t>
  </si>
  <si>
    <t>Chrome DevTools Performance traces with a ten-cycle timing worksheet and p50/p95 calculation.</t>
  </si>
  <si>
    <t>UAT (primary) and DEV for diagnosis</t>
  </si>
  <si>
    <t>Non-Functional, Regression, Performance</t>
  </si>
  <si>
    <t>@non-functional @regression @performance @account @manual</t>
  </si>
  <si>
    <t>AC-UX-027</t>
  </si>
  <si>
    <t>Account visual regression</t>
  </si>
  <si>
    <t>Account, chat and subscription states match approved visual baselines</t>
  </si>
  <si>
    <t>Detect unintended layout, typography, spacing, colour, focus and responsive changes in the stable Account journey while excluding only documented dynamic content.</t>
  </si>
  <si>
    <t xml:space="preserve">1. Approved baselines exist for the current design version, browser version and supported viewports.
2. The same seeded accounts, connector, synthetic PDF, font set and theme are available for capture.
3. Animations and caret blinking can be disabled and dynamic values have documented masks.</t>
  </si>
  <si>
    <t xml:space="preserve">1. Capture My Account Task, the open account menu and the open business switcher at desktop and mobile viewports.
2. Capture the empty chat composer, selected connector badge, pending long-name PDF preview and USHA Pro Plan gate in their stable states.
3. Compare each image with its approved baseline using the same browser, scale factor, fonts, theme and animation settings.
4. Review every changed region visually, confirm that masks cover only timestamps or other approved dynamic values, and reject masks that hide product controls or content.
5. Record the baseline version, diff percentage, reviewer decision and linked defect or intentional design approval.</t>
  </si>
  <si>
    <t>Chrome stable; device scale factor 1; viewports 1440 x 900 and 390 x 844; approved light-theme baselines; animations disabled; timestamps masked; maximum unapproved pixel difference 0.20 percent per image.</t>
  </si>
  <si>
    <t>All required states are captured with identical deterministic settings; each image has no unapproved pixel difference above 0.20 percent; account labels, menus, composer controls, connector badge, PDF preview and subscription gate have no clipping or displacement; and no changed baseline is accepted without documented design approval.</t>
  </si>
  <si>
    <t>Visual regression</t>
  </si>
  <si>
    <t>Pixel-diff comparison followed by named human review of every changed region and baseline approval record.</t>
  </si>
  <si>
    <t>UAT baseline review; DEV for investigating differences</t>
  </si>
  <si>
    <t>Non-Functional, Regression, Visual Regression</t>
  </si>
  <si>
    <t>@non-functional @regression @visual-regression @account @manual</t>
  </si>
  <si>
    <t>AC-UX-028</t>
  </si>
  <si>
    <t>Account localization and text expansion</t>
  </si>
  <si>
    <t>Localized account content and 40 percent text expansion remain usable</t>
  </si>
  <si>
    <t>Verify locale-aware formatting, translated or pseudo-localized content, Unicode account identities and layout resilience without changing account permissions.</t>
  </si>
  <si>
    <t xml:space="preserve">1. The approved locale list and fallback-language rules are available.
2. A pseudo-locale or controlled 40 percent text-expansion build is available in DEV or UAT.
3. Test accounts contain Unicode business names and locale-sensitive date or time content where supported.</t>
  </si>
  <si>
    <t xml:space="preserve">1. Open the account menu, business switcher, Task composer and Pro Plan gate in the default locale and each approved test locale.
2. Repeat using the pseudo-locale with labels expanded by approximately 40 percent.
3. Inspect business names, GSTIN, timestamps, filenames, connector badges, headings, buttons, placeholders, validation and status messages for translation and formatting consistency.
4. At 390 x 844 and 200 percent zoom, inspect wrapping, truncation, menu placement, focus visibility and action reachability.
5. If an RTL locale is officially supported, repeat keyboard navigation and verify mirrored ordering while preserving identifiers, filenames and numeric values.</t>
  </si>
  <si>
    <t>Locales: product default plus every approved supported locale; pseudo-locale with about 40 percent expansion; Unicode business name fixture; long translated labels; viewports 1440 x 900 and 390 x 844; zoom 100 and 200 percent.</t>
  </si>
  <si>
    <t>No user-facing string is unintentionally left in the fallback language, locale-sensitive dates and numbers follow the selected locale, Unicode identities remain unchanged, expanded text neither clips nor covers controls, all actions remain reachable, accessible names match visible meaning, and supported RTL presentation preserves a logical reading and focus order.</t>
  </si>
  <si>
    <t>Localization</t>
  </si>
  <si>
    <t>Locale matrix review with pseudo-localization, mobile reflow, 200 percent zoom and screen-reader spot checks.</t>
  </si>
  <si>
    <t>DEV and UAT with localization fixtures</t>
  </si>
  <si>
    <t>Non-Functional, Regression, Responsive, Localization</t>
  </si>
  <si>
    <t>@non-functional @regression @responsive @localization @account @manual</t>
  </si>
  <si>
    <t>AC-UX-029</t>
  </si>
  <si>
    <t>Account exploratory UAT charter</t>
  </si>
  <si>
    <t>Explore account-context continuity across chat, connector, upload and subscription boundaries</t>
  </si>
  <si>
    <t>Use a time-boxed UAT charter to discover confusing, inconsistent or unsafe transitions that scripted cases may miss while moving among personal, subscribed and no-subscription contexts.</t>
  </si>
  <si>
    <t xml:space="preserve">1. A UAT user has My Account, subscribed HCL INFOTECH LIMITED and no-subscription USHA KANWAR contexts.
2. A connected QA connector and synthetic non-sensitive PDFs are available.
3. Trial activation, checkout and real customer-document upload are prohibited.
4. Screen recording, notes and defect capture are enabled.</t>
  </si>
  <si>
    <t xml:space="preserve">1. Time-box the session to 60 minutes and record the build, browser, tester, starting context and charter risks.
2. Vary navigation order, browser Back/Forward, refresh, rapid context changes, menu dismissal and idle/resume while continuously checking the active account identity.
3. In each account context, vary message length, connector selection/removal and synthetic PDF attach/remove actions without entering prohibited subscription flows.
4. Probe recovery from no search result, canceled action, slow response and interrupted navigation, then verify that drafts, focus and account boundaries remain understandable.
5. Log observations as issue, question, idea or passed note with timestamp, context, reproducible steps and screenshot/video evidence, then debrief against the charter risks.</t>
  </si>
  <si>
    <t>60-minute session; Chrome stable; desktop 1440 x 900 plus one mobile pass at 390 x 844; contexts My Account, HCL and USHA; QA connector; synthetic PDF only; evidence taxonomy: Issue, Question, Idea, Passed.</t>
  </si>
  <si>
    <t>All three contexts and the chat, connector, attachment and subscription-boundary areas are explored within the time box; the active account never becomes ambiguous or exposes another context data; no prohibited subscription action occurs; every anomaly has reproducible evidence and severity; and the session ends with My Account restored plus a completed charter/debrief record.</t>
  </si>
  <si>
    <t>Exploratory</t>
  </si>
  <si>
    <t>Session-based exploratory testing with screen recording, timestamped notes, risk coverage map and UAT debrief.</t>
  </si>
  <si>
    <t>UAT (primary); DEV for controlled fault exploration</t>
  </si>
  <si>
    <t>Non-Functional, Regression, Exploratory, UAT</t>
  </si>
  <si>
    <t>@non-functional @regression @exploratory @uat @account @manual</t>
  </si>
  <si>
    <t>Account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</si>
  <si>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</si>
  <si>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</si>
  <si>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</si>
  <si>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</si>
  <si>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</si>
  <si>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</si>
  <si>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</si>
  <si>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</si>
  <si>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</si>
  <si>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</si>
  <si>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</si>
  <si>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</si>
  <si>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</si>
  <si>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</si>
  <si>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</si>
  <si>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</si>
  <si>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</si>
  <si>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</si>
  <si>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</si>
  <si>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</si>
  <si>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P0.</t>
  </si>
  <si>
    <t>Priority coverage for P1.</t>
  </si>
  <si>
    <t>Priority coverage for P2.</t>
  </si>
  <si>
    <t>Severity coverage for Critical.</t>
  </si>
  <si>
    <t>Severity coverage for Major.</t>
  </si>
  <si>
    <t>Test suite</t>
  </si>
  <si>
    <t>Functional</t>
  </si>
  <si>
    <t>12 automated and 0 manual case(s) carry @functional.</t>
  </si>
  <si>
    <t>Non-Functional</t>
  </si>
  <si>
    <t>0 automated and 29 manual case(s) carry @non-functional.</t>
  </si>
  <si>
    <t>Smoke</t>
  </si>
  <si>
    <t>1 automated and 0 manual case(s) carry @smoke.</t>
  </si>
  <si>
    <t>Production Smoke</t>
  </si>
  <si>
    <t>1 automated and 0 manual case(s) carry @prod-smoke.</t>
  </si>
  <si>
    <t>Sanity</t>
  </si>
  <si>
    <t>3 automated and 0 manual case(s) carry @sanity.</t>
  </si>
  <si>
    <t>Regression</t>
  </si>
  <si>
    <t>12 automated and 29 manual case(s) carry @regression.</t>
  </si>
  <si>
    <t>End-to-End</t>
  </si>
  <si>
    <t>12 automated and 0 manual case(s) carry @e2e.</t>
  </si>
  <si>
    <t>Integration</t>
  </si>
  <si>
    <t>6 automated and 0 manual case(s) carry @integration.</t>
  </si>
  <si>
    <t>0 automated and 13 manual case(s) carry @a11y.</t>
  </si>
  <si>
    <t>0 automated and 7 manual case(s) carry @responsive.</t>
  </si>
  <si>
    <t>0 automated and 1 manual case(s) carry @compatibility.</t>
  </si>
  <si>
    <t>Visual Regression</t>
  </si>
  <si>
    <t>0 automated and 1 manual case(s) carry @visual-regression.</t>
  </si>
  <si>
    <t>0 automated and 1 manual case(s) carry @performance.</t>
  </si>
  <si>
    <t>0 automated and 1 manual case(s) carry @localization.</t>
  </si>
  <si>
    <t>0 automated and 1 manual case(s) carry @exploratory.</t>
  </si>
  <si>
    <t>UAT</t>
  </si>
  <si>
    <t>3 automated and 1 manual case(s) carry @uat.</t>
  </si>
  <si>
    <t>Assigned only when a specific failed case is rerun after a defect fix; intentionally zero at design time.</t>
  </si>
  <si>
    <t>Manual category</t>
  </si>
  <si>
    <t>Manual Accessibility review coverage.</t>
  </si>
  <si>
    <t>Manual Compatibility review coverage.</t>
  </si>
  <si>
    <t>Manual Error state review coverage.</t>
  </si>
  <si>
    <t>Manual Exploratory review coverage.</t>
  </si>
  <si>
    <t>Manual Localization review coverage.</t>
  </si>
  <si>
    <t>Manual Performance review coverage.</t>
  </si>
  <si>
    <t>Manual Responsive review coverage.</t>
  </si>
  <si>
    <t>Manual UI review coverage.</t>
  </si>
  <si>
    <t>Manual UX review coverage.</t>
  </si>
  <si>
    <t>Manual Visual regression review coverage.</t>
  </si>
  <si>
    <t>Field</t>
  </si>
  <si>
    <t>Sheet</t>
  </si>
  <si>
    <t>Editable During Execution</t>
  </si>
  <si>
    <t>Required</t>
  </si>
  <si>
    <t>Description</t>
  </si>
  <si>
    <t>Example</t>
  </si>
  <si>
    <t>No</t>
  </si>
  <si>
    <t>Yes</t>
  </si>
  <si>
    <t>Unique Account case reference used in evidence and defects.</t>
  </si>
  <si>
    <t>AC-001 / AC-UX-001</t>
  </si>
  <si>
    <t>Page section or user journey covered by the case.</t>
  </si>
  <si>
    <t>Account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</si>
  <si>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</si>
  <si>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</si>
  <si>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</si>
  <si>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</si>
  <si>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</si>
  <si>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</si>
  <si>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</si>
  <si>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</si>
  <si>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</si>
  <si>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</si>
  <si>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</si>
  <si>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</si>
  <si>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</si>
  <si>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</si>
  <si>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</si>
  <si>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</si>
  <si>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</si>
  <si>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</si>
  <si>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</si>
  <si>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</si>
  <si>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</si>
  <si>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</si>
  <si>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</si>
  <si>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</si>
  <si>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@account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</si>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</sst>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9">
    <fill>
      <patternFill patternType="none"/>
    </fill>
    <fill>
      <patternFill patternType="gray125"/>
    </fill>
    <fill>
      <patternFill patternType="solid">
        <fgColor rgb="FF7030A0"/>
      </patternFill>
    </fill>
    <fill>
      <patternFill patternType="solid">
        <fgColor rgb="FFFCE4D6"/>
      </patternFill>
    </fill>
    <fill>
      <patternFill patternType="solid">
        <fgColor rgb="FFC65911"/>
      </patternFill>
    </fill>
    <fill>
      <patternFill patternType="solid">
        <fgColor rgb="FFFFF2CC"/>
      </patternFill>
    </fill>
    <fill>
      <patternFill patternType="solid">
        <fgColor rgb="FFF4CCCC"/>
      </patternFill>
    </fill>
    <fill>
      <patternFill patternType="solid">
        <fgColor rgb="FF548235"/>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4" borderId="0" xfId="0" applyFont="1" applyFill="1" applyAlignment="1">
      <alignment horizontal="center" vertical="center" wrapText="1"/>
    </xf>
    <xf numFmtId="0" fontId="5" fillId="5" borderId="0" xfId="0" applyFont="1" applyFill="1" applyAlignment="1">
      <alignment vertical="top" wrapText="1"/>
    </xf>
    <xf numFmtId="0" fontId="7" fillId="5" borderId="0" xfId="0" applyFont="1" applyFill="1" applyAlignment="1">
      <alignment vertical="top" wrapText="1"/>
    </xf>
    <xf numFmtId="0" fontId="7" fillId="6" borderId="0" xfId="0" applyFont="1" applyFill="1" applyAlignment="1">
      <alignment vertical="top" wrapText="1"/>
    </xf>
    <xf numFmtId="0" fontId="9" fillId="7" borderId="0" xfId="0" applyFont="1" applyFill="1" applyAlignment="1">
      <alignment horizontal="left" vertical="center"/>
    </xf>
    <xf numFmtId="0" fontId="10" fillId="0" borderId="0" xfId="0" applyFont="1"/>
    <xf numFmtId="0" fontId="3" fillId="7"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xf numFmtId="0" fontId="3"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AccountAutomatedCases" displayName="AccountAutomatedCases" ref="A1:V13" totalsRowShown="1" headerRowCount="1">
  <autoFilter ref="A1:V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AccountManualUiUxCases" displayName="AccountManualUiUxCases" ref="A1:W30" totalsRowShown="1" headerRowCount="1">
  <autoFilter ref="A1:W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AccountUiUxFieldReference" displayName="Account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13"/>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11"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106</v>
      </c>
      <c r="J3" s="7" t="s">
        <v>107</v>
      </c>
      <c r="K3" s="7" t="s">
        <v>108</v>
      </c>
      <c r="L3" s="7" t="s">
        <v>89</v>
      </c>
      <c r="M3" s="10" t="s">
        <v>90</v>
      </c>
      <c r="N3" s="11" t="s">
        <v>91</v>
      </c>
      <c r="O3" s="7" t="s">
        <v>92</v>
      </c>
      <c r="P3" s="7" t="s">
        <v>93</v>
      </c>
      <c r="Q3" s="7" t="s">
        <v>94</v>
      </c>
      <c r="R3" s="7" t="s">
        <v>109</v>
      </c>
      <c r="S3" s="7" t="s">
        <v>110</v>
      </c>
      <c r="T3" s="7" t="s">
        <v>111</v>
      </c>
      <c r="U3" s="7" t="s">
        <v>98</v>
      </c>
      <c r="V3" s="7" t="s">
        <v>99</v>
      </c>
    </row>
    <row r="4" ht="76" customHeight="1" spans="1:22" s="7" customFormat="1" x14ac:dyDescent="0.25">
      <c r="A4" s="7">
        <v>3</v>
      </c>
      <c r="B4" s="8" t="s">
        <v>112</v>
      </c>
      <c r="C4" s="7" t="s">
        <v>80</v>
      </c>
      <c r="D4" s="7" t="s">
        <v>113</v>
      </c>
      <c r="E4" s="7" t="s">
        <v>114</v>
      </c>
      <c r="F4" s="7" t="s">
        <v>115</v>
      </c>
      <c r="G4" s="7" t="s">
        <v>116</v>
      </c>
      <c r="H4" s="7" t="s">
        <v>117</v>
      </c>
      <c r="I4" s="9" t="s">
        <v>118</v>
      </c>
      <c r="J4" s="7" t="s">
        <v>119</v>
      </c>
      <c r="K4" s="7" t="s">
        <v>120</v>
      </c>
      <c r="L4" s="7" t="s">
        <v>89</v>
      </c>
      <c r="M4" s="10" t="s">
        <v>90</v>
      </c>
      <c r="N4" s="11" t="s">
        <v>91</v>
      </c>
      <c r="O4" s="7" t="s">
        <v>92</v>
      </c>
      <c r="P4" s="7" t="s">
        <v>93</v>
      </c>
      <c r="Q4" s="7" t="s">
        <v>94</v>
      </c>
      <c r="R4" s="7" t="s">
        <v>121</v>
      </c>
      <c r="S4" s="7" t="s">
        <v>122</v>
      </c>
      <c r="T4" s="7" t="s">
        <v>123</v>
      </c>
      <c r="U4" s="7" t="s">
        <v>98</v>
      </c>
      <c r="V4" s="7" t="s">
        <v>99</v>
      </c>
    </row>
    <row r="5" ht="76" customHeight="1" spans="1:22" s="7" customFormat="1" x14ac:dyDescent="0.25">
      <c r="A5" s="7">
        <v>4</v>
      </c>
      <c r="B5" s="8" t="s">
        <v>124</v>
      </c>
      <c r="C5" s="7" t="s">
        <v>80</v>
      </c>
      <c r="D5" s="7" t="s">
        <v>125</v>
      </c>
      <c r="E5" s="7" t="s">
        <v>126</v>
      </c>
      <c r="F5" s="7" t="s">
        <v>127</v>
      </c>
      <c r="G5" s="7" t="s">
        <v>128</v>
      </c>
      <c r="H5" s="7" t="s">
        <v>129</v>
      </c>
      <c r="I5" s="9" t="s">
        <v>130</v>
      </c>
      <c r="J5" s="7" t="s">
        <v>131</v>
      </c>
      <c r="K5" s="7" t="s">
        <v>132</v>
      </c>
      <c r="L5" s="7" t="s">
        <v>89</v>
      </c>
      <c r="M5" s="10" t="s">
        <v>90</v>
      </c>
      <c r="N5" s="11" t="s">
        <v>91</v>
      </c>
      <c r="O5" s="7" t="s">
        <v>92</v>
      </c>
      <c r="P5" s="12" t="s">
        <v>133</v>
      </c>
      <c r="Q5" s="7" t="s">
        <v>94</v>
      </c>
      <c r="R5" s="7" t="s">
        <v>121</v>
      </c>
      <c r="S5" s="7" t="s">
        <v>122</v>
      </c>
      <c r="T5" s="7" t="s">
        <v>134</v>
      </c>
      <c r="U5" s="7" t="s">
        <v>98</v>
      </c>
      <c r="V5" s="7" t="s">
        <v>99</v>
      </c>
    </row>
    <row r="6" ht="76" customHeight="1" spans="1:22" s="7" customFormat="1" x14ac:dyDescent="0.25">
      <c r="A6" s="7">
        <v>5</v>
      </c>
      <c r="B6" s="8" t="s">
        <v>135</v>
      </c>
      <c r="C6" s="7" t="s">
        <v>80</v>
      </c>
      <c r="D6" s="7" t="s">
        <v>136</v>
      </c>
      <c r="E6" s="7" t="s">
        <v>137</v>
      </c>
      <c r="F6" s="7" t="s">
        <v>138</v>
      </c>
      <c r="G6" s="7" t="s">
        <v>139</v>
      </c>
      <c r="H6" s="7" t="s">
        <v>140</v>
      </c>
      <c r="I6" s="9" t="s">
        <v>141</v>
      </c>
      <c r="J6" s="7" t="s">
        <v>142</v>
      </c>
      <c r="K6" s="7" t="s">
        <v>88</v>
      </c>
      <c r="L6" s="7" t="s">
        <v>89</v>
      </c>
      <c r="M6" s="10" t="s">
        <v>90</v>
      </c>
      <c r="N6" s="11" t="s">
        <v>91</v>
      </c>
      <c r="O6" s="7" t="s">
        <v>92</v>
      </c>
      <c r="P6" s="7" t="s">
        <v>93</v>
      </c>
      <c r="Q6" s="7" t="s">
        <v>94</v>
      </c>
      <c r="R6" s="7" t="s">
        <v>143</v>
      </c>
      <c r="S6" s="7" t="s">
        <v>144</v>
      </c>
      <c r="T6" s="7" t="s">
        <v>145</v>
      </c>
      <c r="U6" s="7" t="s">
        <v>98</v>
      </c>
      <c r="V6" s="7" t="s">
        <v>99</v>
      </c>
    </row>
    <row r="7" ht="76" customHeight="1" spans="1:22" s="7" customFormat="1" x14ac:dyDescent="0.25">
      <c r="A7" s="7">
        <v>6</v>
      </c>
      <c r="B7" s="8" t="s">
        <v>146</v>
      </c>
      <c r="C7" s="7" t="s">
        <v>80</v>
      </c>
      <c r="D7" s="7" t="s">
        <v>147</v>
      </c>
      <c r="E7" s="7" t="s">
        <v>148</v>
      </c>
      <c r="F7" s="7" t="s">
        <v>149</v>
      </c>
      <c r="G7" s="7" t="s">
        <v>150</v>
      </c>
      <c r="H7" s="7" t="s">
        <v>151</v>
      </c>
      <c r="I7" s="9" t="s">
        <v>152</v>
      </c>
      <c r="J7" s="7" t="s">
        <v>153</v>
      </c>
      <c r="K7" s="7" t="s">
        <v>108</v>
      </c>
      <c r="L7" s="7" t="s">
        <v>89</v>
      </c>
      <c r="M7" s="10" t="s">
        <v>90</v>
      </c>
      <c r="N7" s="11" t="s">
        <v>91</v>
      </c>
      <c r="O7" s="7" t="s">
        <v>92</v>
      </c>
      <c r="P7" s="7" t="s">
        <v>93</v>
      </c>
      <c r="Q7" s="7" t="s">
        <v>94</v>
      </c>
      <c r="R7" s="7" t="s">
        <v>109</v>
      </c>
      <c r="S7" s="7" t="s">
        <v>110</v>
      </c>
      <c r="T7" s="7" t="s">
        <v>154</v>
      </c>
      <c r="U7" s="7" t="s">
        <v>98</v>
      </c>
      <c r="V7" s="7" t="s">
        <v>99</v>
      </c>
    </row>
    <row r="8" ht="76" customHeight="1" spans="1:22" s="7" customFormat="1" x14ac:dyDescent="0.25">
      <c r="A8" s="7">
        <v>7</v>
      </c>
      <c r="B8" s="8" t="s">
        <v>155</v>
      </c>
      <c r="C8" s="7" t="s">
        <v>80</v>
      </c>
      <c r="D8" s="7" t="s">
        <v>156</v>
      </c>
      <c r="E8" s="7" t="s">
        <v>157</v>
      </c>
      <c r="F8" s="7" t="s">
        <v>158</v>
      </c>
      <c r="G8" s="7" t="s">
        <v>159</v>
      </c>
      <c r="H8" s="7" t="s">
        <v>160</v>
      </c>
      <c r="I8" s="9" t="s">
        <v>161</v>
      </c>
      <c r="J8" s="7" t="s">
        <v>162</v>
      </c>
      <c r="K8" s="7" t="s">
        <v>120</v>
      </c>
      <c r="L8" s="7" t="s">
        <v>89</v>
      </c>
      <c r="M8" s="10" t="s">
        <v>90</v>
      </c>
      <c r="N8" s="11" t="s">
        <v>91</v>
      </c>
      <c r="O8" s="7" t="s">
        <v>92</v>
      </c>
      <c r="P8" s="7" t="s">
        <v>93</v>
      </c>
      <c r="Q8" s="7" t="s">
        <v>94</v>
      </c>
      <c r="R8" s="7" t="s">
        <v>121</v>
      </c>
      <c r="S8" s="7" t="s">
        <v>122</v>
      </c>
      <c r="T8" s="7" t="s">
        <v>163</v>
      </c>
      <c r="U8" s="7" t="s">
        <v>98</v>
      </c>
      <c r="V8" s="7" t="s">
        <v>99</v>
      </c>
    </row>
    <row r="9" ht="76" customHeight="1" spans="1:22" s="7" customFormat="1" x14ac:dyDescent="0.25">
      <c r="A9" s="7">
        <v>8</v>
      </c>
      <c r="B9" s="8" t="s">
        <v>164</v>
      </c>
      <c r="C9" s="7" t="s">
        <v>80</v>
      </c>
      <c r="D9" s="7" t="s">
        <v>165</v>
      </c>
      <c r="E9" s="7" t="s">
        <v>166</v>
      </c>
      <c r="F9" s="7" t="s">
        <v>167</v>
      </c>
      <c r="G9" s="7" t="s">
        <v>168</v>
      </c>
      <c r="H9" s="7" t="s">
        <v>169</v>
      </c>
      <c r="I9" s="9" t="s">
        <v>170</v>
      </c>
      <c r="J9" s="7" t="s">
        <v>171</v>
      </c>
      <c r="K9" s="7" t="s">
        <v>132</v>
      </c>
      <c r="L9" s="7" t="s">
        <v>89</v>
      </c>
      <c r="M9" s="10" t="s">
        <v>90</v>
      </c>
      <c r="N9" s="11" t="s">
        <v>91</v>
      </c>
      <c r="O9" s="7" t="s">
        <v>92</v>
      </c>
      <c r="P9" s="12" t="s">
        <v>133</v>
      </c>
      <c r="Q9" s="7" t="s">
        <v>94</v>
      </c>
      <c r="R9" s="7" t="s">
        <v>121</v>
      </c>
      <c r="S9" s="7" t="s">
        <v>122</v>
      </c>
      <c r="T9" s="7" t="s">
        <v>172</v>
      </c>
      <c r="U9" s="7" t="s">
        <v>98</v>
      </c>
      <c r="V9" s="7" t="s">
        <v>99</v>
      </c>
    </row>
    <row r="10" ht="76" customHeight="1" spans="1:22" s="7" customFormat="1" x14ac:dyDescent="0.25">
      <c r="A10" s="7">
        <v>9</v>
      </c>
      <c r="B10" s="8" t="s">
        <v>173</v>
      </c>
      <c r="C10" s="7" t="s">
        <v>80</v>
      </c>
      <c r="D10" s="7" t="s">
        <v>174</v>
      </c>
      <c r="E10" s="7" t="s">
        <v>175</v>
      </c>
      <c r="F10" s="7" t="s">
        <v>176</v>
      </c>
      <c r="G10" s="7" t="s">
        <v>177</v>
      </c>
      <c r="H10" s="7" t="s">
        <v>178</v>
      </c>
      <c r="I10" s="9" t="s">
        <v>179</v>
      </c>
      <c r="J10" s="7" t="s">
        <v>180</v>
      </c>
      <c r="K10" s="7" t="s">
        <v>108</v>
      </c>
      <c r="L10" s="7" t="s">
        <v>89</v>
      </c>
      <c r="M10" s="10" t="s">
        <v>90</v>
      </c>
      <c r="N10" s="11" t="s">
        <v>91</v>
      </c>
      <c r="O10" s="7" t="s">
        <v>92</v>
      </c>
      <c r="P10" s="7" t="s">
        <v>93</v>
      </c>
      <c r="Q10" s="7" t="s">
        <v>94</v>
      </c>
      <c r="R10" s="7" t="s">
        <v>109</v>
      </c>
      <c r="S10" s="7" t="s">
        <v>110</v>
      </c>
      <c r="T10" s="7" t="s">
        <v>181</v>
      </c>
      <c r="U10" s="7" t="s">
        <v>98</v>
      </c>
      <c r="V10" s="7" t="s">
        <v>99</v>
      </c>
    </row>
    <row r="11" ht="76" customHeight="1" spans="1:22" s="7" customFormat="1" x14ac:dyDescent="0.25">
      <c r="A11" s="7">
        <v>10</v>
      </c>
      <c r="B11" s="8" t="s">
        <v>182</v>
      </c>
      <c r="C11" s="7" t="s">
        <v>80</v>
      </c>
      <c r="D11" s="7" t="s">
        <v>183</v>
      </c>
      <c r="E11" s="7" t="s">
        <v>184</v>
      </c>
      <c r="F11" s="7" t="s">
        <v>185</v>
      </c>
      <c r="G11" s="7" t="s">
        <v>186</v>
      </c>
      <c r="H11" s="7" t="s">
        <v>187</v>
      </c>
      <c r="I11" s="9" t="s">
        <v>188</v>
      </c>
      <c r="J11" s="7" t="s">
        <v>189</v>
      </c>
      <c r="K11" s="7" t="s">
        <v>120</v>
      </c>
      <c r="L11" s="7" t="s">
        <v>89</v>
      </c>
      <c r="M11" s="10" t="s">
        <v>90</v>
      </c>
      <c r="N11" s="11" t="s">
        <v>91</v>
      </c>
      <c r="O11" s="7" t="s">
        <v>92</v>
      </c>
      <c r="P11" s="7" t="s">
        <v>93</v>
      </c>
      <c r="Q11" s="7" t="s">
        <v>94</v>
      </c>
      <c r="R11" s="7" t="s">
        <v>121</v>
      </c>
      <c r="S11" s="7" t="s">
        <v>122</v>
      </c>
      <c r="T11" s="7" t="s">
        <v>190</v>
      </c>
      <c r="U11" s="7" t="s">
        <v>98</v>
      </c>
      <c r="V11" s="7" t="s">
        <v>99</v>
      </c>
    </row>
    <row r="12" ht="76" customHeight="1" spans="1:22" s="7" customFormat="1" x14ac:dyDescent="0.25">
      <c r="A12" s="7">
        <v>11</v>
      </c>
      <c r="B12" s="8" t="s">
        <v>191</v>
      </c>
      <c r="C12" s="7" t="s">
        <v>80</v>
      </c>
      <c r="D12" s="7" t="s">
        <v>192</v>
      </c>
      <c r="E12" s="7" t="s">
        <v>193</v>
      </c>
      <c r="F12" s="7" t="s">
        <v>194</v>
      </c>
      <c r="G12" s="7" t="s">
        <v>195</v>
      </c>
      <c r="H12" s="7" t="s">
        <v>196</v>
      </c>
      <c r="I12" s="9" t="s">
        <v>197</v>
      </c>
      <c r="J12" s="7" t="s">
        <v>198</v>
      </c>
      <c r="K12" s="7" t="s">
        <v>132</v>
      </c>
      <c r="L12" s="7" t="s">
        <v>89</v>
      </c>
      <c r="M12" s="10" t="s">
        <v>90</v>
      </c>
      <c r="N12" s="11" t="s">
        <v>91</v>
      </c>
      <c r="O12" s="7" t="s">
        <v>92</v>
      </c>
      <c r="P12" s="12" t="s">
        <v>133</v>
      </c>
      <c r="Q12" s="7" t="s">
        <v>94</v>
      </c>
      <c r="R12" s="7" t="s">
        <v>121</v>
      </c>
      <c r="S12" s="7" t="s">
        <v>122</v>
      </c>
      <c r="T12" s="7" t="s">
        <v>199</v>
      </c>
      <c r="U12" s="7" t="s">
        <v>98</v>
      </c>
      <c r="V12" s="7" t="s">
        <v>99</v>
      </c>
    </row>
    <row r="13" ht="76" customHeight="1" spans="1:22" s="7" customFormat="1" x14ac:dyDescent="0.25">
      <c r="A13" s="7">
        <v>12</v>
      </c>
      <c r="B13" s="8" t="s">
        <v>200</v>
      </c>
      <c r="C13" s="7" t="s">
        <v>80</v>
      </c>
      <c r="D13" s="7" t="s">
        <v>201</v>
      </c>
      <c r="E13" s="7" t="s">
        <v>202</v>
      </c>
      <c r="F13" s="7" t="s">
        <v>203</v>
      </c>
      <c r="G13" s="7" t="s">
        <v>204</v>
      </c>
      <c r="H13" s="7" t="s">
        <v>205</v>
      </c>
      <c r="I13" s="9" t="s">
        <v>206</v>
      </c>
      <c r="J13" s="7" t="s">
        <v>207</v>
      </c>
      <c r="K13" s="7" t="s">
        <v>88</v>
      </c>
      <c r="L13" s="7" t="s">
        <v>208</v>
      </c>
      <c r="M13" s="10" t="s">
        <v>90</v>
      </c>
      <c r="N13" s="11" t="s">
        <v>91</v>
      </c>
      <c r="O13" s="7" t="s">
        <v>92</v>
      </c>
      <c r="P13" s="7" t="s">
        <v>93</v>
      </c>
      <c r="Q13" s="7" t="s">
        <v>94</v>
      </c>
      <c r="R13" s="7" t="s">
        <v>143</v>
      </c>
      <c r="S13" s="7" t="s">
        <v>144</v>
      </c>
      <c r="T13" s="7" t="s">
        <v>209</v>
      </c>
      <c r="U13" s="7" t="s">
        <v>98</v>
      </c>
      <c r="V13"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0"/>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3" customFormat="1" x14ac:dyDescent="0.25">
      <c r="A1" s="13" t="s">
        <v>59</v>
      </c>
      <c r="B1" s="13" t="s">
        <v>60</v>
      </c>
      <c r="C1" s="13" t="s">
        <v>61</v>
      </c>
      <c r="D1" s="13" t="s">
        <v>62</v>
      </c>
      <c r="E1" s="13" t="s">
        <v>63</v>
      </c>
      <c r="F1" s="13" t="s">
        <v>64</v>
      </c>
      <c r="G1" s="13" t="s">
        <v>65</v>
      </c>
      <c r="H1" s="13" t="s">
        <v>66</v>
      </c>
      <c r="I1" s="13" t="s">
        <v>210</v>
      </c>
      <c r="J1" s="13" t="s">
        <v>68</v>
      </c>
      <c r="K1" s="13" t="s">
        <v>211</v>
      </c>
      <c r="L1" s="13" t="s">
        <v>212</v>
      </c>
      <c r="M1" s="13" t="s">
        <v>71</v>
      </c>
      <c r="N1" s="13" t="s">
        <v>72</v>
      </c>
      <c r="O1" s="13" t="s">
        <v>213</v>
      </c>
      <c r="P1" s="13" t="s">
        <v>27</v>
      </c>
      <c r="Q1" s="13" t="s">
        <v>30</v>
      </c>
      <c r="R1" s="13" t="s">
        <v>214</v>
      </c>
      <c r="S1" s="13" t="s">
        <v>215</v>
      </c>
      <c r="T1" s="13" t="s">
        <v>216</v>
      </c>
      <c r="U1" s="13" t="s">
        <v>217</v>
      </c>
      <c r="V1" s="13" t="s">
        <v>218</v>
      </c>
      <c r="W1" s="13" t="s">
        <v>219</v>
      </c>
    </row>
    <row r="2" ht="76" customHeight="1" spans="1:23" s="7" customFormat="1" x14ac:dyDescent="0.25">
      <c r="A2" s="7">
        <v>1</v>
      </c>
      <c r="B2" s="8" t="s">
        <v>220</v>
      </c>
      <c r="C2" s="7" t="s">
        <v>80</v>
      </c>
      <c r="D2" s="7" t="s">
        <v>221</v>
      </c>
      <c r="E2" s="7" t="s">
        <v>222</v>
      </c>
      <c r="F2" s="7" t="s">
        <v>223</v>
      </c>
      <c r="G2" s="7" t="s">
        <v>224</v>
      </c>
      <c r="H2" s="7" t="s">
        <v>225</v>
      </c>
      <c r="I2" s="7" t="s">
        <v>226</v>
      </c>
      <c r="J2" s="7" t="s">
        <v>227</v>
      </c>
      <c r="K2" s="7" t="s">
        <v>228</v>
      </c>
      <c r="L2" s="7" t="s">
        <v>229</v>
      </c>
      <c r="M2" s="10" t="s">
        <v>90</v>
      </c>
      <c r="N2" s="7" t="s">
        <v>230</v>
      </c>
      <c r="O2" s="7" t="s">
        <v>231</v>
      </c>
      <c r="P2" s="7" t="s">
        <v>232</v>
      </c>
      <c r="Q2" s="7" t="s">
        <v>233</v>
      </c>
      <c r="R2" s="14" t="s">
        <v>234</v>
      </c>
      <c r="S2" s="14" t="s">
        <v>99</v>
      </c>
      <c r="T2" s="14" t="s">
        <v>99</v>
      </c>
      <c r="U2" s="14" t="s">
        <v>99</v>
      </c>
      <c r="V2" s="14" t="s">
        <v>99</v>
      </c>
      <c r="W2" s="14" t="s">
        <v>99</v>
      </c>
    </row>
    <row r="3" ht="76" customHeight="1" spans="1:23" s="7" customFormat="1" x14ac:dyDescent="0.25">
      <c r="A3" s="7">
        <v>2</v>
      </c>
      <c r="B3" s="8" t="s">
        <v>235</v>
      </c>
      <c r="C3" s="7" t="s">
        <v>80</v>
      </c>
      <c r="D3" s="7" t="s">
        <v>221</v>
      </c>
      <c r="E3" s="7" t="s">
        <v>236</v>
      </c>
      <c r="F3" s="7" t="s">
        <v>237</v>
      </c>
      <c r="G3" s="7" t="s">
        <v>238</v>
      </c>
      <c r="H3" s="7" t="s">
        <v>239</v>
      </c>
      <c r="I3" s="7" t="s">
        <v>240</v>
      </c>
      <c r="J3" s="7" t="s">
        <v>241</v>
      </c>
      <c r="K3" s="7" t="s">
        <v>242</v>
      </c>
      <c r="L3" s="7" t="s">
        <v>243</v>
      </c>
      <c r="M3" s="10" t="s">
        <v>90</v>
      </c>
      <c r="N3" s="7" t="s">
        <v>230</v>
      </c>
      <c r="O3" s="7" t="s">
        <v>244</v>
      </c>
      <c r="P3" s="7" t="s">
        <v>245</v>
      </c>
      <c r="Q3" s="7" t="s">
        <v>246</v>
      </c>
      <c r="R3" s="14" t="s">
        <v>234</v>
      </c>
      <c r="S3" s="14" t="s">
        <v>99</v>
      </c>
      <c r="T3" s="14" t="s">
        <v>99</v>
      </c>
      <c r="U3" s="14" t="s">
        <v>99</v>
      </c>
      <c r="V3" s="14" t="s">
        <v>99</v>
      </c>
      <c r="W3" s="14" t="s">
        <v>99</v>
      </c>
    </row>
    <row r="4" ht="76" customHeight="1" spans="1:23" s="7" customFormat="1" x14ac:dyDescent="0.25">
      <c r="A4" s="7">
        <v>3</v>
      </c>
      <c r="B4" s="8" t="s">
        <v>247</v>
      </c>
      <c r="C4" s="7" t="s">
        <v>80</v>
      </c>
      <c r="D4" s="7" t="s">
        <v>248</v>
      </c>
      <c r="E4" s="7" t="s">
        <v>249</v>
      </c>
      <c r="F4" s="7" t="s">
        <v>250</v>
      </c>
      <c r="G4" s="7" t="s">
        <v>251</v>
      </c>
      <c r="H4" s="7" t="s">
        <v>252</v>
      </c>
      <c r="I4" s="7" t="s">
        <v>253</v>
      </c>
      <c r="J4" s="7" t="s">
        <v>254</v>
      </c>
      <c r="K4" s="7" t="s">
        <v>228</v>
      </c>
      <c r="L4" s="7" t="s">
        <v>255</v>
      </c>
      <c r="M4" s="10" t="s">
        <v>90</v>
      </c>
      <c r="N4" s="7" t="s">
        <v>230</v>
      </c>
      <c r="O4" s="7" t="s">
        <v>231</v>
      </c>
      <c r="P4" s="7" t="s">
        <v>232</v>
      </c>
      <c r="Q4" s="7" t="s">
        <v>233</v>
      </c>
      <c r="R4" s="14" t="s">
        <v>234</v>
      </c>
      <c r="S4" s="14" t="s">
        <v>99</v>
      </c>
      <c r="T4" s="14" t="s">
        <v>99</v>
      </c>
      <c r="U4" s="14" t="s">
        <v>99</v>
      </c>
      <c r="V4" s="14" t="s">
        <v>99</v>
      </c>
      <c r="W4" s="14" t="s">
        <v>99</v>
      </c>
    </row>
    <row r="5" ht="76" customHeight="1" spans="1:23" s="7" customFormat="1" x14ac:dyDescent="0.25">
      <c r="A5" s="7">
        <v>4</v>
      </c>
      <c r="B5" s="8" t="s">
        <v>256</v>
      </c>
      <c r="C5" s="7" t="s">
        <v>80</v>
      </c>
      <c r="D5" s="7" t="s">
        <v>257</v>
      </c>
      <c r="E5" s="7" t="s">
        <v>258</v>
      </c>
      <c r="F5" s="7" t="s">
        <v>259</v>
      </c>
      <c r="G5" s="7" t="s">
        <v>260</v>
      </c>
      <c r="H5" s="7" t="s">
        <v>261</v>
      </c>
      <c r="I5" s="7" t="s">
        <v>262</v>
      </c>
      <c r="J5" s="7" t="s">
        <v>263</v>
      </c>
      <c r="K5" s="7" t="s">
        <v>264</v>
      </c>
      <c r="L5" s="7" t="s">
        <v>265</v>
      </c>
      <c r="M5" s="10" t="s">
        <v>90</v>
      </c>
      <c r="N5" s="7" t="s">
        <v>230</v>
      </c>
      <c r="O5" s="7" t="s">
        <v>266</v>
      </c>
      <c r="P5" s="7" t="s">
        <v>232</v>
      </c>
      <c r="Q5" s="7" t="s">
        <v>267</v>
      </c>
      <c r="R5" s="14" t="s">
        <v>234</v>
      </c>
      <c r="S5" s="14" t="s">
        <v>99</v>
      </c>
      <c r="T5" s="14" t="s">
        <v>99</v>
      </c>
      <c r="U5" s="14" t="s">
        <v>99</v>
      </c>
      <c r="V5" s="14" t="s">
        <v>99</v>
      </c>
      <c r="W5" s="14" t="s">
        <v>99</v>
      </c>
    </row>
    <row r="6" ht="76" customHeight="1" spans="1:23" s="7" customFormat="1" x14ac:dyDescent="0.25">
      <c r="A6" s="7">
        <v>5</v>
      </c>
      <c r="B6" s="8" t="s">
        <v>268</v>
      </c>
      <c r="C6" s="7" t="s">
        <v>80</v>
      </c>
      <c r="D6" s="7" t="s">
        <v>257</v>
      </c>
      <c r="E6" s="7" t="s">
        <v>269</v>
      </c>
      <c r="F6" s="7" t="s">
        <v>270</v>
      </c>
      <c r="G6" s="7" t="s">
        <v>271</v>
      </c>
      <c r="H6" s="7" t="s">
        <v>272</v>
      </c>
      <c r="I6" s="7" t="s">
        <v>273</v>
      </c>
      <c r="J6" s="7" t="s">
        <v>274</v>
      </c>
      <c r="K6" s="7" t="s">
        <v>275</v>
      </c>
      <c r="L6" s="7" t="s">
        <v>276</v>
      </c>
      <c r="M6" s="10" t="s">
        <v>90</v>
      </c>
      <c r="N6" s="7" t="s">
        <v>230</v>
      </c>
      <c r="O6" s="7" t="s">
        <v>277</v>
      </c>
      <c r="P6" s="7" t="s">
        <v>232</v>
      </c>
      <c r="Q6" s="7" t="s">
        <v>278</v>
      </c>
      <c r="R6" s="14" t="s">
        <v>234</v>
      </c>
      <c r="S6" s="14" t="s">
        <v>99</v>
      </c>
      <c r="T6" s="14" t="s">
        <v>99</v>
      </c>
      <c r="U6" s="14" t="s">
        <v>99</v>
      </c>
      <c r="V6" s="14" t="s">
        <v>99</v>
      </c>
      <c r="W6" s="14" t="s">
        <v>99</v>
      </c>
    </row>
    <row r="7" ht="76" customHeight="1" spans="1:23" s="7" customFormat="1" x14ac:dyDescent="0.25">
      <c r="A7" s="7">
        <v>6</v>
      </c>
      <c r="B7" s="8" t="s">
        <v>279</v>
      </c>
      <c r="C7" s="7" t="s">
        <v>80</v>
      </c>
      <c r="D7" s="7" t="s">
        <v>280</v>
      </c>
      <c r="E7" s="7" t="s">
        <v>281</v>
      </c>
      <c r="F7" s="7" t="s">
        <v>282</v>
      </c>
      <c r="G7" s="7" t="s">
        <v>283</v>
      </c>
      <c r="H7" s="7" t="s">
        <v>284</v>
      </c>
      <c r="I7" s="7" t="s">
        <v>285</v>
      </c>
      <c r="J7" s="7" t="s">
        <v>286</v>
      </c>
      <c r="K7" s="7" t="s">
        <v>287</v>
      </c>
      <c r="L7" s="7" t="s">
        <v>288</v>
      </c>
      <c r="M7" s="15" t="s">
        <v>289</v>
      </c>
      <c r="N7" s="7" t="s">
        <v>230</v>
      </c>
      <c r="O7" s="7" t="s">
        <v>290</v>
      </c>
      <c r="P7" s="7" t="s">
        <v>291</v>
      </c>
      <c r="Q7" s="7" t="s">
        <v>292</v>
      </c>
      <c r="R7" s="14" t="s">
        <v>234</v>
      </c>
      <c r="S7" s="14" t="s">
        <v>99</v>
      </c>
      <c r="T7" s="14" t="s">
        <v>99</v>
      </c>
      <c r="U7" s="14" t="s">
        <v>99</v>
      </c>
      <c r="V7" s="14" t="s">
        <v>99</v>
      </c>
      <c r="W7" s="14" t="s">
        <v>99</v>
      </c>
    </row>
    <row r="8" ht="76" customHeight="1" spans="1:23" s="7" customFormat="1" x14ac:dyDescent="0.25">
      <c r="A8" s="7">
        <v>7</v>
      </c>
      <c r="B8" s="8" t="s">
        <v>293</v>
      </c>
      <c r="C8" s="7" t="s">
        <v>80</v>
      </c>
      <c r="D8" s="7" t="s">
        <v>248</v>
      </c>
      <c r="E8" s="7" t="s">
        <v>294</v>
      </c>
      <c r="F8" s="7" t="s">
        <v>295</v>
      </c>
      <c r="G8" s="7" t="s">
        <v>296</v>
      </c>
      <c r="H8" s="7" t="s">
        <v>297</v>
      </c>
      <c r="I8" s="7" t="s">
        <v>298</v>
      </c>
      <c r="J8" s="7" t="s">
        <v>299</v>
      </c>
      <c r="K8" s="7" t="s">
        <v>242</v>
      </c>
      <c r="L8" s="7" t="s">
        <v>300</v>
      </c>
      <c r="M8" s="10" t="s">
        <v>90</v>
      </c>
      <c r="N8" s="7" t="s">
        <v>230</v>
      </c>
      <c r="O8" s="7" t="s">
        <v>244</v>
      </c>
      <c r="P8" s="7" t="s">
        <v>245</v>
      </c>
      <c r="Q8" s="7" t="s">
        <v>246</v>
      </c>
      <c r="R8" s="14" t="s">
        <v>234</v>
      </c>
      <c r="S8" s="14" t="s">
        <v>99</v>
      </c>
      <c r="T8" s="14" t="s">
        <v>99</v>
      </c>
      <c r="U8" s="14" t="s">
        <v>99</v>
      </c>
      <c r="V8" s="14" t="s">
        <v>99</v>
      </c>
      <c r="W8" s="14" t="s">
        <v>99</v>
      </c>
    </row>
    <row r="9" ht="76" customHeight="1" spans="1:23" s="7" customFormat="1" x14ac:dyDescent="0.25">
      <c r="A9" s="7">
        <v>8</v>
      </c>
      <c r="B9" s="8" t="s">
        <v>301</v>
      </c>
      <c r="C9" s="7" t="s">
        <v>80</v>
      </c>
      <c r="D9" s="7" t="s">
        <v>302</v>
      </c>
      <c r="E9" s="7" t="s">
        <v>303</v>
      </c>
      <c r="F9" s="7" t="s">
        <v>304</v>
      </c>
      <c r="G9" s="7" t="s">
        <v>305</v>
      </c>
      <c r="H9" s="7" t="s">
        <v>306</v>
      </c>
      <c r="I9" s="7" t="s">
        <v>307</v>
      </c>
      <c r="J9" s="7" t="s">
        <v>308</v>
      </c>
      <c r="K9" s="7" t="s">
        <v>264</v>
      </c>
      <c r="L9" s="7" t="s">
        <v>309</v>
      </c>
      <c r="M9" s="10" t="s">
        <v>90</v>
      </c>
      <c r="N9" s="7" t="s">
        <v>230</v>
      </c>
      <c r="O9" s="7" t="s">
        <v>266</v>
      </c>
      <c r="P9" s="7" t="s">
        <v>232</v>
      </c>
      <c r="Q9" s="7" t="s">
        <v>267</v>
      </c>
      <c r="R9" s="14" t="s">
        <v>234</v>
      </c>
      <c r="S9" s="14" t="s">
        <v>99</v>
      </c>
      <c r="T9" s="14" t="s">
        <v>99</v>
      </c>
      <c r="U9" s="14" t="s">
        <v>99</v>
      </c>
      <c r="V9" s="14" t="s">
        <v>99</v>
      </c>
      <c r="W9" s="14" t="s">
        <v>99</v>
      </c>
    </row>
    <row r="10" ht="76" customHeight="1" spans="1:23" s="7" customFormat="1" x14ac:dyDescent="0.25">
      <c r="A10" s="7">
        <v>9</v>
      </c>
      <c r="B10" s="8" t="s">
        <v>310</v>
      </c>
      <c r="C10" s="7" t="s">
        <v>80</v>
      </c>
      <c r="D10" s="7" t="s">
        <v>302</v>
      </c>
      <c r="E10" s="7" t="s">
        <v>311</v>
      </c>
      <c r="F10" s="7" t="s">
        <v>312</v>
      </c>
      <c r="G10" s="7" t="s">
        <v>313</v>
      </c>
      <c r="H10" s="7" t="s">
        <v>314</v>
      </c>
      <c r="I10" s="7" t="s">
        <v>315</v>
      </c>
      <c r="J10" s="7" t="s">
        <v>316</v>
      </c>
      <c r="K10" s="7" t="s">
        <v>275</v>
      </c>
      <c r="L10" s="7" t="s">
        <v>317</v>
      </c>
      <c r="M10" s="16" t="s">
        <v>318</v>
      </c>
      <c r="N10" s="11" t="s">
        <v>91</v>
      </c>
      <c r="O10" s="7" t="s">
        <v>319</v>
      </c>
      <c r="P10" s="7" t="s">
        <v>245</v>
      </c>
      <c r="Q10" s="7" t="s">
        <v>320</v>
      </c>
      <c r="R10" s="14" t="s">
        <v>234</v>
      </c>
      <c r="S10" s="14" t="s">
        <v>99</v>
      </c>
      <c r="T10" s="14" t="s">
        <v>99</v>
      </c>
      <c r="U10" s="14" t="s">
        <v>99</v>
      </c>
      <c r="V10" s="14" t="s">
        <v>99</v>
      </c>
      <c r="W10" s="14" t="s">
        <v>99</v>
      </c>
    </row>
    <row r="11" ht="76" customHeight="1" spans="1:23" s="7" customFormat="1" x14ac:dyDescent="0.25">
      <c r="A11" s="7">
        <v>10</v>
      </c>
      <c r="B11" s="8" t="s">
        <v>321</v>
      </c>
      <c r="C11" s="7" t="s">
        <v>80</v>
      </c>
      <c r="D11" s="7" t="s">
        <v>322</v>
      </c>
      <c r="E11" s="7" t="s">
        <v>323</v>
      </c>
      <c r="F11" s="7" t="s">
        <v>324</v>
      </c>
      <c r="G11" s="7" t="s">
        <v>325</v>
      </c>
      <c r="H11" s="7" t="s">
        <v>326</v>
      </c>
      <c r="I11" s="7" t="s">
        <v>327</v>
      </c>
      <c r="J11" s="7" t="s">
        <v>328</v>
      </c>
      <c r="K11" s="7" t="s">
        <v>264</v>
      </c>
      <c r="L11" s="7" t="s">
        <v>329</v>
      </c>
      <c r="M11" s="16" t="s">
        <v>318</v>
      </c>
      <c r="N11" s="11" t="s">
        <v>91</v>
      </c>
      <c r="O11" s="7" t="s">
        <v>330</v>
      </c>
      <c r="P11" s="7" t="s">
        <v>232</v>
      </c>
      <c r="Q11" s="7" t="s">
        <v>267</v>
      </c>
      <c r="R11" s="14" t="s">
        <v>234</v>
      </c>
      <c r="S11" s="14" t="s">
        <v>99</v>
      </c>
      <c r="T11" s="14" t="s">
        <v>99</v>
      </c>
      <c r="U11" s="14" t="s">
        <v>99</v>
      </c>
      <c r="V11" s="14" t="s">
        <v>99</v>
      </c>
      <c r="W11" s="14" t="s">
        <v>99</v>
      </c>
    </row>
    <row r="12" ht="76" customHeight="1" spans="1:23" s="7" customFormat="1" x14ac:dyDescent="0.25">
      <c r="A12" s="7">
        <v>11</v>
      </c>
      <c r="B12" s="8" t="s">
        <v>331</v>
      </c>
      <c r="C12" s="7" t="s">
        <v>80</v>
      </c>
      <c r="D12" s="7" t="s">
        <v>332</v>
      </c>
      <c r="E12" s="7" t="s">
        <v>333</v>
      </c>
      <c r="F12" s="7" t="s">
        <v>334</v>
      </c>
      <c r="G12" s="7" t="s">
        <v>335</v>
      </c>
      <c r="H12" s="7" t="s">
        <v>336</v>
      </c>
      <c r="I12" s="7" t="s">
        <v>337</v>
      </c>
      <c r="J12" s="7" t="s">
        <v>338</v>
      </c>
      <c r="K12" s="7" t="s">
        <v>287</v>
      </c>
      <c r="L12" s="7" t="s">
        <v>339</v>
      </c>
      <c r="M12" s="10" t="s">
        <v>90</v>
      </c>
      <c r="N12" s="7" t="s">
        <v>230</v>
      </c>
      <c r="O12" s="7" t="s">
        <v>231</v>
      </c>
      <c r="P12" s="7" t="s">
        <v>340</v>
      </c>
      <c r="Q12" s="7" t="s">
        <v>341</v>
      </c>
      <c r="R12" s="14" t="s">
        <v>234</v>
      </c>
      <c r="S12" s="14" t="s">
        <v>99</v>
      </c>
      <c r="T12" s="14" t="s">
        <v>99</v>
      </c>
      <c r="U12" s="14" t="s">
        <v>99</v>
      </c>
      <c r="V12" s="14" t="s">
        <v>99</v>
      </c>
      <c r="W12" s="14" t="s">
        <v>99</v>
      </c>
    </row>
    <row r="13" ht="76" customHeight="1" spans="1:23" s="7" customFormat="1" x14ac:dyDescent="0.25">
      <c r="A13" s="7">
        <v>12</v>
      </c>
      <c r="B13" s="8" t="s">
        <v>342</v>
      </c>
      <c r="C13" s="7" t="s">
        <v>80</v>
      </c>
      <c r="D13" s="7" t="s">
        <v>343</v>
      </c>
      <c r="E13" s="7" t="s">
        <v>344</v>
      </c>
      <c r="F13" s="7" t="s">
        <v>345</v>
      </c>
      <c r="G13" s="7" t="s">
        <v>346</v>
      </c>
      <c r="H13" s="7" t="s">
        <v>347</v>
      </c>
      <c r="I13" s="7" t="s">
        <v>348</v>
      </c>
      <c r="J13" s="7" t="s">
        <v>349</v>
      </c>
      <c r="K13" s="7" t="s">
        <v>228</v>
      </c>
      <c r="L13" s="7" t="s">
        <v>350</v>
      </c>
      <c r="M13" s="10" t="s">
        <v>90</v>
      </c>
      <c r="N13" s="7" t="s">
        <v>230</v>
      </c>
      <c r="O13" s="7" t="s">
        <v>231</v>
      </c>
      <c r="P13" s="7" t="s">
        <v>232</v>
      </c>
      <c r="Q13" s="7" t="s">
        <v>233</v>
      </c>
      <c r="R13" s="14" t="s">
        <v>234</v>
      </c>
      <c r="S13" s="14" t="s">
        <v>99</v>
      </c>
      <c r="T13" s="14" t="s">
        <v>99</v>
      </c>
      <c r="U13" s="14" t="s">
        <v>99</v>
      </c>
      <c r="V13" s="14" t="s">
        <v>99</v>
      </c>
      <c r="W13" s="14" t="s">
        <v>99</v>
      </c>
    </row>
    <row r="14" ht="76" customHeight="1" spans="1:23" s="7" customFormat="1" x14ac:dyDescent="0.25">
      <c r="A14" s="7">
        <v>13</v>
      </c>
      <c r="B14" s="8" t="s">
        <v>351</v>
      </c>
      <c r="C14" s="7" t="s">
        <v>80</v>
      </c>
      <c r="D14" s="7" t="s">
        <v>108</v>
      </c>
      <c r="E14" s="7" t="s">
        <v>352</v>
      </c>
      <c r="F14" s="7" t="s">
        <v>353</v>
      </c>
      <c r="G14" s="7" t="s">
        <v>354</v>
      </c>
      <c r="H14" s="7" t="s">
        <v>355</v>
      </c>
      <c r="I14" s="7" t="s">
        <v>356</v>
      </c>
      <c r="J14" s="7" t="s">
        <v>357</v>
      </c>
      <c r="K14" s="7" t="s">
        <v>287</v>
      </c>
      <c r="L14" s="7" t="s">
        <v>358</v>
      </c>
      <c r="M14" s="10" t="s">
        <v>90</v>
      </c>
      <c r="N14" s="7" t="s">
        <v>230</v>
      </c>
      <c r="O14" s="7" t="s">
        <v>266</v>
      </c>
      <c r="P14" s="7" t="s">
        <v>340</v>
      </c>
      <c r="Q14" s="7" t="s">
        <v>341</v>
      </c>
      <c r="R14" s="14" t="s">
        <v>234</v>
      </c>
      <c r="S14" s="14" t="s">
        <v>99</v>
      </c>
      <c r="T14" s="14" t="s">
        <v>99</v>
      </c>
      <c r="U14" s="14" t="s">
        <v>99</v>
      </c>
      <c r="V14" s="14" t="s">
        <v>99</v>
      </c>
      <c r="W14" s="14" t="s">
        <v>99</v>
      </c>
    </row>
    <row r="15" ht="76" customHeight="1" spans="1:23" s="7" customFormat="1" x14ac:dyDescent="0.25">
      <c r="A15" s="7">
        <v>14</v>
      </c>
      <c r="B15" s="8" t="s">
        <v>359</v>
      </c>
      <c r="C15" s="7" t="s">
        <v>80</v>
      </c>
      <c r="D15" s="7" t="s">
        <v>108</v>
      </c>
      <c r="E15" s="7" t="s">
        <v>360</v>
      </c>
      <c r="F15" s="7" t="s">
        <v>361</v>
      </c>
      <c r="G15" s="7" t="s">
        <v>362</v>
      </c>
      <c r="H15" s="7" t="s">
        <v>363</v>
      </c>
      <c r="I15" s="7" t="s">
        <v>364</v>
      </c>
      <c r="J15" s="7" t="s">
        <v>365</v>
      </c>
      <c r="K15" s="7" t="s">
        <v>264</v>
      </c>
      <c r="L15" s="7" t="s">
        <v>366</v>
      </c>
      <c r="M15" s="10" t="s">
        <v>90</v>
      </c>
      <c r="N15" s="7" t="s">
        <v>230</v>
      </c>
      <c r="O15" s="7" t="s">
        <v>266</v>
      </c>
      <c r="P15" s="7" t="s">
        <v>245</v>
      </c>
      <c r="Q15" s="7" t="s">
        <v>367</v>
      </c>
      <c r="R15" s="14" t="s">
        <v>234</v>
      </c>
      <c r="S15" s="14" t="s">
        <v>99</v>
      </c>
      <c r="T15" s="14" t="s">
        <v>99</v>
      </c>
      <c r="U15" s="14" t="s">
        <v>99</v>
      </c>
      <c r="V15" s="14" t="s">
        <v>99</v>
      </c>
      <c r="W15" s="14" t="s">
        <v>99</v>
      </c>
    </row>
    <row r="16" ht="76" customHeight="1" spans="1:23" s="7" customFormat="1" x14ac:dyDescent="0.25">
      <c r="A16" s="7">
        <v>15</v>
      </c>
      <c r="B16" s="8" t="s">
        <v>368</v>
      </c>
      <c r="C16" s="7" t="s">
        <v>80</v>
      </c>
      <c r="D16" s="7" t="s">
        <v>369</v>
      </c>
      <c r="E16" s="7" t="s">
        <v>370</v>
      </c>
      <c r="F16" s="7" t="s">
        <v>371</v>
      </c>
      <c r="G16" s="7" t="s">
        <v>372</v>
      </c>
      <c r="H16" s="7" t="s">
        <v>373</v>
      </c>
      <c r="I16" s="7" t="s">
        <v>374</v>
      </c>
      <c r="J16" s="7" t="s">
        <v>375</v>
      </c>
      <c r="K16" s="7" t="s">
        <v>242</v>
      </c>
      <c r="L16" s="7" t="s">
        <v>376</v>
      </c>
      <c r="M16" s="10" t="s">
        <v>90</v>
      </c>
      <c r="N16" s="7" t="s">
        <v>230</v>
      </c>
      <c r="O16" s="7" t="s">
        <v>266</v>
      </c>
      <c r="P16" s="7" t="s">
        <v>245</v>
      </c>
      <c r="Q16" s="7" t="s">
        <v>246</v>
      </c>
      <c r="R16" s="14" t="s">
        <v>234</v>
      </c>
      <c r="S16" s="14" t="s">
        <v>99</v>
      </c>
      <c r="T16" s="14" t="s">
        <v>99</v>
      </c>
      <c r="U16" s="14" t="s">
        <v>99</v>
      </c>
      <c r="V16" s="14" t="s">
        <v>99</v>
      </c>
      <c r="W16" s="14" t="s">
        <v>99</v>
      </c>
    </row>
    <row r="17" ht="76" customHeight="1" spans="1:23" s="7" customFormat="1" x14ac:dyDescent="0.25">
      <c r="A17" s="7">
        <v>16</v>
      </c>
      <c r="B17" s="8" t="s">
        <v>377</v>
      </c>
      <c r="C17" s="7" t="s">
        <v>80</v>
      </c>
      <c r="D17" s="7" t="s">
        <v>369</v>
      </c>
      <c r="E17" s="7" t="s">
        <v>378</v>
      </c>
      <c r="F17" s="7" t="s">
        <v>379</v>
      </c>
      <c r="G17" s="7" t="s">
        <v>380</v>
      </c>
      <c r="H17" s="7" t="s">
        <v>381</v>
      </c>
      <c r="I17" s="7" t="s">
        <v>382</v>
      </c>
      <c r="J17" s="7" t="s">
        <v>383</v>
      </c>
      <c r="K17" s="7" t="s">
        <v>275</v>
      </c>
      <c r="L17" s="7" t="s">
        <v>384</v>
      </c>
      <c r="M17" s="16" t="s">
        <v>318</v>
      </c>
      <c r="N17" s="11" t="s">
        <v>91</v>
      </c>
      <c r="O17" s="7" t="s">
        <v>319</v>
      </c>
      <c r="P17" s="7" t="s">
        <v>245</v>
      </c>
      <c r="Q17" s="7" t="s">
        <v>320</v>
      </c>
      <c r="R17" s="14" t="s">
        <v>234</v>
      </c>
      <c r="S17" s="14" t="s">
        <v>99</v>
      </c>
      <c r="T17" s="14" t="s">
        <v>99</v>
      </c>
      <c r="U17" s="14" t="s">
        <v>99</v>
      </c>
      <c r="V17" s="14" t="s">
        <v>99</v>
      </c>
      <c r="W17" s="14" t="s">
        <v>99</v>
      </c>
    </row>
    <row r="18" ht="76" customHeight="1" spans="1:23" s="7" customFormat="1" x14ac:dyDescent="0.25">
      <c r="A18" s="7">
        <v>17</v>
      </c>
      <c r="B18" s="8" t="s">
        <v>385</v>
      </c>
      <c r="C18" s="7" t="s">
        <v>80</v>
      </c>
      <c r="D18" s="7" t="s">
        <v>386</v>
      </c>
      <c r="E18" s="7" t="s">
        <v>387</v>
      </c>
      <c r="F18" s="7" t="s">
        <v>388</v>
      </c>
      <c r="G18" s="7" t="s">
        <v>389</v>
      </c>
      <c r="H18" s="7" t="s">
        <v>390</v>
      </c>
      <c r="I18" s="7" t="s">
        <v>391</v>
      </c>
      <c r="J18" s="7" t="s">
        <v>392</v>
      </c>
      <c r="K18" s="7" t="s">
        <v>242</v>
      </c>
      <c r="L18" s="7" t="s">
        <v>300</v>
      </c>
      <c r="M18" s="10" t="s">
        <v>90</v>
      </c>
      <c r="N18" s="7" t="s">
        <v>230</v>
      </c>
      <c r="O18" s="7" t="s">
        <v>244</v>
      </c>
      <c r="P18" s="7" t="s">
        <v>245</v>
      </c>
      <c r="Q18" s="7" t="s">
        <v>246</v>
      </c>
      <c r="R18" s="14" t="s">
        <v>234</v>
      </c>
      <c r="S18" s="14" t="s">
        <v>99</v>
      </c>
      <c r="T18" s="14" t="s">
        <v>99</v>
      </c>
      <c r="U18" s="14" t="s">
        <v>99</v>
      </c>
      <c r="V18" s="14" t="s">
        <v>99</v>
      </c>
      <c r="W18" s="14" t="s">
        <v>99</v>
      </c>
    </row>
    <row r="19" ht="76" customHeight="1" spans="1:23" s="7" customFormat="1" x14ac:dyDescent="0.25">
      <c r="A19" s="7">
        <v>18</v>
      </c>
      <c r="B19" s="8" t="s">
        <v>393</v>
      </c>
      <c r="C19" s="7" t="s">
        <v>80</v>
      </c>
      <c r="D19" s="7" t="s">
        <v>394</v>
      </c>
      <c r="E19" s="7" t="s">
        <v>395</v>
      </c>
      <c r="F19" s="7" t="s">
        <v>396</v>
      </c>
      <c r="G19" s="7" t="s">
        <v>397</v>
      </c>
      <c r="H19" s="7" t="s">
        <v>398</v>
      </c>
      <c r="I19" s="7" t="s">
        <v>399</v>
      </c>
      <c r="J19" s="7" t="s">
        <v>400</v>
      </c>
      <c r="K19" s="7" t="s">
        <v>287</v>
      </c>
      <c r="L19" s="7" t="s">
        <v>401</v>
      </c>
      <c r="M19" s="10" t="s">
        <v>90</v>
      </c>
      <c r="N19" s="7" t="s">
        <v>230</v>
      </c>
      <c r="O19" s="7" t="s">
        <v>290</v>
      </c>
      <c r="P19" s="7" t="s">
        <v>291</v>
      </c>
      <c r="Q19" s="7" t="s">
        <v>292</v>
      </c>
      <c r="R19" s="14" t="s">
        <v>234</v>
      </c>
      <c r="S19" s="14" t="s">
        <v>99</v>
      </c>
      <c r="T19" s="14" t="s">
        <v>99</v>
      </c>
      <c r="U19" s="14" t="s">
        <v>99</v>
      </c>
      <c r="V19" s="14" t="s">
        <v>99</v>
      </c>
      <c r="W19" s="14" t="s">
        <v>99</v>
      </c>
    </row>
    <row r="20" ht="76" customHeight="1" spans="1:23" s="7" customFormat="1" x14ac:dyDescent="0.25">
      <c r="A20" s="7">
        <v>19</v>
      </c>
      <c r="B20" s="8" t="s">
        <v>402</v>
      </c>
      <c r="C20" s="7" t="s">
        <v>80</v>
      </c>
      <c r="D20" s="7" t="s">
        <v>403</v>
      </c>
      <c r="E20" s="7" t="s">
        <v>404</v>
      </c>
      <c r="F20" s="7" t="s">
        <v>405</v>
      </c>
      <c r="G20" s="7" t="s">
        <v>406</v>
      </c>
      <c r="H20" s="7" t="s">
        <v>407</v>
      </c>
      <c r="I20" s="7" t="s">
        <v>408</v>
      </c>
      <c r="J20" s="7" t="s">
        <v>409</v>
      </c>
      <c r="K20" s="7" t="s">
        <v>275</v>
      </c>
      <c r="L20" s="7" t="s">
        <v>410</v>
      </c>
      <c r="M20" s="15" t="s">
        <v>289</v>
      </c>
      <c r="N20" s="7" t="s">
        <v>230</v>
      </c>
      <c r="O20" s="7" t="s">
        <v>290</v>
      </c>
      <c r="P20" s="7" t="s">
        <v>245</v>
      </c>
      <c r="Q20" s="7" t="s">
        <v>320</v>
      </c>
      <c r="R20" s="14" t="s">
        <v>234</v>
      </c>
      <c r="S20" s="14" t="s">
        <v>99</v>
      </c>
      <c r="T20" s="14" t="s">
        <v>99</v>
      </c>
      <c r="U20" s="14" t="s">
        <v>99</v>
      </c>
      <c r="V20" s="14" t="s">
        <v>99</v>
      </c>
      <c r="W20" s="14" t="s">
        <v>99</v>
      </c>
    </row>
    <row r="21" ht="76" customHeight="1" spans="1:23" s="7" customFormat="1" x14ac:dyDescent="0.25">
      <c r="A21" s="7">
        <v>20</v>
      </c>
      <c r="B21" s="8" t="s">
        <v>411</v>
      </c>
      <c r="C21" s="7" t="s">
        <v>80</v>
      </c>
      <c r="D21" s="7" t="s">
        <v>412</v>
      </c>
      <c r="E21" s="7" t="s">
        <v>413</v>
      </c>
      <c r="F21" s="7" t="s">
        <v>414</v>
      </c>
      <c r="G21" s="7" t="s">
        <v>415</v>
      </c>
      <c r="H21" s="7" t="s">
        <v>416</v>
      </c>
      <c r="I21" s="7" t="s">
        <v>417</v>
      </c>
      <c r="J21" s="7" t="s">
        <v>418</v>
      </c>
      <c r="K21" s="7" t="s">
        <v>287</v>
      </c>
      <c r="L21" s="7" t="s">
        <v>419</v>
      </c>
      <c r="M21" s="15" t="s">
        <v>289</v>
      </c>
      <c r="N21" s="7" t="s">
        <v>230</v>
      </c>
      <c r="O21" s="7" t="s">
        <v>266</v>
      </c>
      <c r="P21" s="7" t="s">
        <v>340</v>
      </c>
      <c r="Q21" s="7" t="s">
        <v>341</v>
      </c>
      <c r="R21" s="14" t="s">
        <v>234</v>
      </c>
      <c r="S21" s="14" t="s">
        <v>99</v>
      </c>
      <c r="T21" s="14" t="s">
        <v>99</v>
      </c>
      <c r="U21" s="14" t="s">
        <v>99</v>
      </c>
      <c r="V21" s="14" t="s">
        <v>99</v>
      </c>
      <c r="W21" s="14" t="s">
        <v>99</v>
      </c>
    </row>
    <row r="22" ht="76" customHeight="1" spans="1:23" s="7" customFormat="1" x14ac:dyDescent="0.25">
      <c r="A22" s="7">
        <v>21</v>
      </c>
      <c r="B22" s="8" t="s">
        <v>420</v>
      </c>
      <c r="C22" s="7" t="s">
        <v>80</v>
      </c>
      <c r="D22" s="7" t="s">
        <v>421</v>
      </c>
      <c r="E22" s="7" t="s">
        <v>422</v>
      </c>
      <c r="F22" s="7" t="s">
        <v>423</v>
      </c>
      <c r="G22" s="7" t="s">
        <v>424</v>
      </c>
      <c r="H22" s="7" t="s">
        <v>425</v>
      </c>
      <c r="I22" s="7" t="s">
        <v>426</v>
      </c>
      <c r="J22" s="7" t="s">
        <v>427</v>
      </c>
      <c r="K22" s="7" t="s">
        <v>275</v>
      </c>
      <c r="L22" s="7" t="s">
        <v>428</v>
      </c>
      <c r="M22" s="10" t="s">
        <v>90</v>
      </c>
      <c r="N22" s="7" t="s">
        <v>230</v>
      </c>
      <c r="O22" s="7" t="s">
        <v>266</v>
      </c>
      <c r="P22" s="7" t="s">
        <v>245</v>
      </c>
      <c r="Q22" s="7" t="s">
        <v>320</v>
      </c>
      <c r="R22" s="14" t="s">
        <v>234</v>
      </c>
      <c r="S22" s="14" t="s">
        <v>99</v>
      </c>
      <c r="T22" s="14" t="s">
        <v>99</v>
      </c>
      <c r="U22" s="14" t="s">
        <v>99</v>
      </c>
      <c r="V22" s="14" t="s">
        <v>99</v>
      </c>
      <c r="W22" s="14" t="s">
        <v>99</v>
      </c>
    </row>
    <row r="23" ht="76" customHeight="1" spans="1:23" s="7" customFormat="1" x14ac:dyDescent="0.25">
      <c r="A23" s="7">
        <v>22</v>
      </c>
      <c r="B23" s="8" t="s">
        <v>429</v>
      </c>
      <c r="C23" s="7" t="s">
        <v>80</v>
      </c>
      <c r="D23" s="7" t="s">
        <v>421</v>
      </c>
      <c r="E23" s="7" t="s">
        <v>430</v>
      </c>
      <c r="F23" s="7" t="s">
        <v>431</v>
      </c>
      <c r="G23" s="7" t="s">
        <v>432</v>
      </c>
      <c r="H23" s="7" t="s">
        <v>433</v>
      </c>
      <c r="I23" s="7" t="s">
        <v>434</v>
      </c>
      <c r="J23" s="7" t="s">
        <v>435</v>
      </c>
      <c r="K23" s="7" t="s">
        <v>275</v>
      </c>
      <c r="L23" s="7" t="s">
        <v>436</v>
      </c>
      <c r="M23" s="10" t="s">
        <v>90</v>
      </c>
      <c r="N23" s="7" t="s">
        <v>230</v>
      </c>
      <c r="O23" s="7" t="s">
        <v>319</v>
      </c>
      <c r="P23" s="7" t="s">
        <v>232</v>
      </c>
      <c r="Q23" s="7" t="s">
        <v>278</v>
      </c>
      <c r="R23" s="14" t="s">
        <v>234</v>
      </c>
      <c r="S23" s="14" t="s">
        <v>99</v>
      </c>
      <c r="T23" s="14" t="s">
        <v>99</v>
      </c>
      <c r="U23" s="14" t="s">
        <v>99</v>
      </c>
      <c r="V23" s="14" t="s">
        <v>99</v>
      </c>
      <c r="W23" s="14" t="s">
        <v>99</v>
      </c>
    </row>
    <row r="24" ht="76" customHeight="1" spans="1:23" s="7" customFormat="1" x14ac:dyDescent="0.25">
      <c r="A24" s="7">
        <v>23</v>
      </c>
      <c r="B24" s="8" t="s">
        <v>437</v>
      </c>
      <c r="C24" s="7" t="s">
        <v>80</v>
      </c>
      <c r="D24" s="7" t="s">
        <v>438</v>
      </c>
      <c r="E24" s="7" t="s">
        <v>439</v>
      </c>
      <c r="F24" s="7" t="s">
        <v>440</v>
      </c>
      <c r="G24" s="7" t="s">
        <v>441</v>
      </c>
      <c r="H24" s="7" t="s">
        <v>442</v>
      </c>
      <c r="I24" s="7" t="s">
        <v>443</v>
      </c>
      <c r="J24" s="7" t="s">
        <v>444</v>
      </c>
      <c r="K24" s="7" t="s">
        <v>275</v>
      </c>
      <c r="L24" s="7" t="s">
        <v>445</v>
      </c>
      <c r="M24" s="16" t="s">
        <v>318</v>
      </c>
      <c r="N24" s="11" t="s">
        <v>91</v>
      </c>
      <c r="O24" s="7" t="s">
        <v>319</v>
      </c>
      <c r="P24" s="7" t="s">
        <v>232</v>
      </c>
      <c r="Q24" s="7" t="s">
        <v>278</v>
      </c>
      <c r="R24" s="14" t="s">
        <v>234</v>
      </c>
      <c r="S24" s="14" t="s">
        <v>99</v>
      </c>
      <c r="T24" s="14" t="s">
        <v>99</v>
      </c>
      <c r="U24" s="14" t="s">
        <v>99</v>
      </c>
      <c r="V24" s="14" t="s">
        <v>99</v>
      </c>
      <c r="W24" s="14" t="s">
        <v>99</v>
      </c>
    </row>
    <row r="25" ht="76" customHeight="1" spans="1:23" s="7" customFormat="1" x14ac:dyDescent="0.25">
      <c r="A25" s="7">
        <v>24</v>
      </c>
      <c r="B25" s="8" t="s">
        <v>446</v>
      </c>
      <c r="C25" s="7" t="s">
        <v>80</v>
      </c>
      <c r="D25" s="7" t="s">
        <v>447</v>
      </c>
      <c r="E25" s="7" t="s">
        <v>448</v>
      </c>
      <c r="F25" s="7" t="s">
        <v>449</v>
      </c>
      <c r="G25" s="7" t="s">
        <v>450</v>
      </c>
      <c r="H25" s="7" t="s">
        <v>451</v>
      </c>
      <c r="I25" s="7" t="s">
        <v>452</v>
      </c>
      <c r="J25" s="7" t="s">
        <v>453</v>
      </c>
      <c r="K25" s="7" t="s">
        <v>242</v>
      </c>
      <c r="L25" s="7" t="s">
        <v>454</v>
      </c>
      <c r="M25" s="16" t="s">
        <v>318</v>
      </c>
      <c r="N25" s="11" t="s">
        <v>91</v>
      </c>
      <c r="O25" s="7" t="s">
        <v>455</v>
      </c>
      <c r="P25" s="7" t="s">
        <v>291</v>
      </c>
      <c r="Q25" s="7" t="s">
        <v>456</v>
      </c>
      <c r="R25" s="14" t="s">
        <v>234</v>
      </c>
      <c r="S25" s="14" t="s">
        <v>99</v>
      </c>
      <c r="T25" s="14" t="s">
        <v>99</v>
      </c>
      <c r="U25" s="14" t="s">
        <v>99</v>
      </c>
      <c r="V25" s="14" t="s">
        <v>99</v>
      </c>
      <c r="W25" s="14" t="s">
        <v>99</v>
      </c>
    </row>
    <row r="26" ht="76" customHeight="1" spans="1:23" s="7" customFormat="1" x14ac:dyDescent="0.25">
      <c r="A26" s="7">
        <v>25</v>
      </c>
      <c r="B26" s="8" t="s">
        <v>457</v>
      </c>
      <c r="C26" s="7" t="s">
        <v>80</v>
      </c>
      <c r="D26" s="7" t="s">
        <v>458</v>
      </c>
      <c r="E26" s="7" t="s">
        <v>459</v>
      </c>
      <c r="F26" s="7" t="s">
        <v>460</v>
      </c>
      <c r="G26" s="7" t="s">
        <v>461</v>
      </c>
      <c r="H26" s="7" t="s">
        <v>462</v>
      </c>
      <c r="I26" s="7" t="s">
        <v>463</v>
      </c>
      <c r="J26" s="7" t="s">
        <v>464</v>
      </c>
      <c r="K26" s="7" t="s">
        <v>465</v>
      </c>
      <c r="L26" s="7" t="s">
        <v>466</v>
      </c>
      <c r="M26" s="10" t="s">
        <v>90</v>
      </c>
      <c r="N26" s="7" t="s">
        <v>230</v>
      </c>
      <c r="O26" s="7" t="s">
        <v>467</v>
      </c>
      <c r="P26" s="7" t="s">
        <v>468</v>
      </c>
      <c r="Q26" s="7" t="s">
        <v>469</v>
      </c>
      <c r="R26" s="14" t="s">
        <v>234</v>
      </c>
      <c r="S26" s="14" t="s">
        <v>99</v>
      </c>
      <c r="T26" s="14" t="s">
        <v>99</v>
      </c>
      <c r="U26" s="14" t="s">
        <v>99</v>
      </c>
      <c r="V26" s="14" t="s">
        <v>99</v>
      </c>
      <c r="W26" s="14" t="s">
        <v>99</v>
      </c>
    </row>
    <row r="27" ht="76" customHeight="1" spans="1:23" s="7" customFormat="1" x14ac:dyDescent="0.25">
      <c r="A27" s="7">
        <v>26</v>
      </c>
      <c r="B27" s="8" t="s">
        <v>470</v>
      </c>
      <c r="C27" s="7" t="s">
        <v>80</v>
      </c>
      <c r="D27" s="7" t="s">
        <v>471</v>
      </c>
      <c r="E27" s="7" t="s">
        <v>472</v>
      </c>
      <c r="F27" s="7" t="s">
        <v>473</v>
      </c>
      <c r="G27" s="7" t="s">
        <v>474</v>
      </c>
      <c r="H27" s="7" t="s">
        <v>475</v>
      </c>
      <c r="I27" s="7" t="s">
        <v>476</v>
      </c>
      <c r="J27" s="7" t="s">
        <v>477</v>
      </c>
      <c r="K27" s="7" t="s">
        <v>478</v>
      </c>
      <c r="L27" s="7" t="s">
        <v>479</v>
      </c>
      <c r="M27" s="10" t="s">
        <v>90</v>
      </c>
      <c r="N27" s="7" t="s">
        <v>230</v>
      </c>
      <c r="O27" s="7" t="s">
        <v>480</v>
      </c>
      <c r="P27" s="7" t="s">
        <v>481</v>
      </c>
      <c r="Q27" s="7" t="s">
        <v>482</v>
      </c>
      <c r="R27" s="14" t="s">
        <v>234</v>
      </c>
      <c r="S27" s="14" t="s">
        <v>99</v>
      </c>
      <c r="T27" s="14" t="s">
        <v>99</v>
      </c>
      <c r="U27" s="14" t="s">
        <v>99</v>
      </c>
      <c r="V27" s="14" t="s">
        <v>99</v>
      </c>
      <c r="W27" s="14" t="s">
        <v>99</v>
      </c>
    </row>
    <row r="28" ht="76" customHeight="1" spans="1:23" s="7" customFormat="1" x14ac:dyDescent="0.25">
      <c r="A28" s="7">
        <v>27</v>
      </c>
      <c r="B28" s="8" t="s">
        <v>483</v>
      </c>
      <c r="C28" s="7" t="s">
        <v>80</v>
      </c>
      <c r="D28" s="7" t="s">
        <v>484</v>
      </c>
      <c r="E28" s="7" t="s">
        <v>485</v>
      </c>
      <c r="F28" s="7" t="s">
        <v>486</v>
      </c>
      <c r="G28" s="7" t="s">
        <v>487</v>
      </c>
      <c r="H28" s="7" t="s">
        <v>488</v>
      </c>
      <c r="I28" s="7" t="s">
        <v>489</v>
      </c>
      <c r="J28" s="7" t="s">
        <v>490</v>
      </c>
      <c r="K28" s="7" t="s">
        <v>491</v>
      </c>
      <c r="L28" s="7" t="s">
        <v>492</v>
      </c>
      <c r="M28" s="10" t="s">
        <v>90</v>
      </c>
      <c r="N28" s="7" t="s">
        <v>230</v>
      </c>
      <c r="O28" s="7" t="s">
        <v>493</v>
      </c>
      <c r="P28" s="7" t="s">
        <v>494</v>
      </c>
      <c r="Q28" s="7" t="s">
        <v>495</v>
      </c>
      <c r="R28" s="14" t="s">
        <v>234</v>
      </c>
      <c r="S28" s="14" t="s">
        <v>99</v>
      </c>
      <c r="T28" s="14" t="s">
        <v>99</v>
      </c>
      <c r="U28" s="14" t="s">
        <v>99</v>
      </c>
      <c r="V28" s="14" t="s">
        <v>99</v>
      </c>
      <c r="W28" s="14" t="s">
        <v>99</v>
      </c>
    </row>
    <row r="29" ht="76" customHeight="1" spans="1:23" s="7" customFormat="1" x14ac:dyDescent="0.25">
      <c r="A29" s="7">
        <v>28</v>
      </c>
      <c r="B29" s="8" t="s">
        <v>496</v>
      </c>
      <c r="C29" s="7" t="s">
        <v>80</v>
      </c>
      <c r="D29" s="7" t="s">
        <v>497</v>
      </c>
      <c r="E29" s="7" t="s">
        <v>498</v>
      </c>
      <c r="F29" s="7" t="s">
        <v>499</v>
      </c>
      <c r="G29" s="7" t="s">
        <v>500</v>
      </c>
      <c r="H29" s="7" t="s">
        <v>501</v>
      </c>
      <c r="I29" s="7" t="s">
        <v>502</v>
      </c>
      <c r="J29" s="7" t="s">
        <v>503</v>
      </c>
      <c r="K29" s="7" t="s">
        <v>504</v>
      </c>
      <c r="L29" s="7" t="s">
        <v>505</v>
      </c>
      <c r="M29" s="10" t="s">
        <v>90</v>
      </c>
      <c r="N29" s="7" t="s">
        <v>230</v>
      </c>
      <c r="O29" s="7" t="s">
        <v>506</v>
      </c>
      <c r="P29" s="7" t="s">
        <v>507</v>
      </c>
      <c r="Q29" s="7" t="s">
        <v>508</v>
      </c>
      <c r="R29" s="14" t="s">
        <v>234</v>
      </c>
      <c r="S29" s="14" t="s">
        <v>99</v>
      </c>
      <c r="T29" s="14" t="s">
        <v>99</v>
      </c>
      <c r="U29" s="14" t="s">
        <v>99</v>
      </c>
      <c r="V29" s="14" t="s">
        <v>99</v>
      </c>
      <c r="W29" s="14" t="s">
        <v>99</v>
      </c>
    </row>
    <row r="30" ht="76" customHeight="1" spans="1:23" s="7" customFormat="1" x14ac:dyDescent="0.25">
      <c r="A30" s="7">
        <v>29</v>
      </c>
      <c r="B30" s="8" t="s">
        <v>509</v>
      </c>
      <c r="C30" s="7" t="s">
        <v>80</v>
      </c>
      <c r="D30" s="7" t="s">
        <v>510</v>
      </c>
      <c r="E30" s="7" t="s">
        <v>511</v>
      </c>
      <c r="F30" s="7" t="s">
        <v>512</v>
      </c>
      <c r="G30" s="7" t="s">
        <v>513</v>
      </c>
      <c r="H30" s="7" t="s">
        <v>514</v>
      </c>
      <c r="I30" s="7" t="s">
        <v>515</v>
      </c>
      <c r="J30" s="7" t="s">
        <v>516</v>
      </c>
      <c r="K30" s="7" t="s">
        <v>517</v>
      </c>
      <c r="L30" s="7" t="s">
        <v>518</v>
      </c>
      <c r="M30" s="16" t="s">
        <v>318</v>
      </c>
      <c r="N30" s="11" t="s">
        <v>91</v>
      </c>
      <c r="O30" s="7" t="s">
        <v>519</v>
      </c>
      <c r="P30" s="7" t="s">
        <v>520</v>
      </c>
      <c r="Q30" s="7" t="s">
        <v>521</v>
      </c>
      <c r="R30" s="14" t="s">
        <v>234</v>
      </c>
      <c r="S30" s="14" t="s">
        <v>99</v>
      </c>
      <c r="T30" s="14" t="s">
        <v>99</v>
      </c>
      <c r="U30" s="14" t="s">
        <v>99</v>
      </c>
      <c r="V30" s="14" t="s">
        <v>99</v>
      </c>
      <c r="W30" s="14" t="s">
        <v>99</v>
      </c>
    </row>
  </sheetData>
  <dataValidations count="2">
    <dataValidation type="list" sqref="R10:R30">
      <formula1>"Not Run,Pass,Fail,Blocked,Not Applicable"</formula1>
    </dataValidation>
    <dataValidation type="list" sqref="R2:R30">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43"/>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7" t="s">
        <v>522</v>
      </c>
      <c r="B1" s="17"/>
      <c r="C1" s="17"/>
      <c r="D1" s="17"/>
    </row>
    <row r="2" spans="1:4" x14ac:dyDescent="0.25">
      <c r="A2" s="18" t="s">
        <v>523</v>
      </c>
      <c r="B2" s="18"/>
      <c r="C2" s="18"/>
      <c r="D2" s="18"/>
    </row>
    <row r="3" spans="1:4" x14ac:dyDescent="0.25"/>
    <row r="4" ht="30" customHeight="1" spans="1:4" s="19" customFormat="1" x14ac:dyDescent="0.25">
      <c r="A4" s="19" t="s">
        <v>524</v>
      </c>
      <c r="B4" s="19" t="s">
        <v>525</v>
      </c>
      <c r="C4" s="19" t="s">
        <v>526</v>
      </c>
      <c r="D4" s="19" t="s">
        <v>527</v>
      </c>
    </row>
    <row r="5" ht="27" customHeight="1" spans="1:4" s="20" customFormat="1" x14ac:dyDescent="0.25">
      <c r="A5" s="21" t="s">
        <v>528</v>
      </c>
      <c r="B5" s="22" t="s">
        <v>529</v>
      </c>
      <c r="C5" s="23">
        <f>ROWS(AccountAutomatedCases[Test Case ID])</f>
        <v>12</v>
      </c>
      <c r="D5" s="22" t="s">
        <v>530</v>
      </c>
    </row>
    <row r="6" ht="27" customHeight="1" spans="1:4" s="20" customFormat="1" x14ac:dyDescent="0.25">
      <c r="A6" s="21" t="s">
        <v>528</v>
      </c>
      <c r="B6" s="22" t="s">
        <v>531</v>
      </c>
      <c r="C6" s="23">
        <f>ROWS(AccountManualUiUxCases[Test Case ID])</f>
        <v>29</v>
      </c>
      <c r="D6" s="22" t="s">
        <v>532</v>
      </c>
    </row>
    <row r="7" ht="27" customHeight="1" spans="1:4" s="20" customFormat="1" x14ac:dyDescent="0.25">
      <c r="A7" s="21" t="s">
        <v>528</v>
      </c>
      <c r="B7" s="22" t="s">
        <v>533</v>
      </c>
      <c r="C7" s="23">
        <f>ROWS(AccountAutomatedCases[Test Case ID])+ROWS(AccountManualUiUxCases[Test Case ID])</f>
        <v>41</v>
      </c>
      <c r="D7" s="22" t="s">
        <v>534</v>
      </c>
    </row>
    <row r="8" ht="27" customHeight="1" spans="1:4" s="20" customFormat="1" x14ac:dyDescent="0.25">
      <c r="A8" s="21" t="s">
        <v>535</v>
      </c>
      <c r="B8" s="22" t="s">
        <v>536</v>
      </c>
      <c r="C8" s="23">
        <f>COUNTIF(AccountAutomatedCases[Write Operation],"YES")</f>
        <v>3</v>
      </c>
      <c r="D8" s="22" t="s">
        <v>537</v>
      </c>
    </row>
    <row r="9" ht="27" customHeight="1" spans="1:4" s="20" customFormat="1" x14ac:dyDescent="0.25">
      <c r="A9" s="21" t="s">
        <v>20</v>
      </c>
      <c r="B9" s="22" t="s">
        <v>234</v>
      </c>
      <c r="C9" s="23">
        <f>COUNTIF(AccountManualUiUxCases[Status],"Not Run")</f>
        <v>29</v>
      </c>
      <c r="D9" s="22" t="s">
        <v>538</v>
      </c>
    </row>
    <row r="10" ht="27" customHeight="1" spans="1:4" s="20" customFormat="1" x14ac:dyDescent="0.25">
      <c r="A10" s="21" t="s">
        <v>20</v>
      </c>
      <c r="B10" s="22" t="s">
        <v>539</v>
      </c>
      <c r="C10" s="23">
        <f>COUNTIF(AccountManualUiUxCases[Status],"Pass")</f>
        <v>0</v>
      </c>
      <c r="D10" s="22" t="s">
        <v>540</v>
      </c>
    </row>
    <row r="11" ht="27" customHeight="1" spans="1:4" s="20" customFormat="1" x14ac:dyDescent="0.25">
      <c r="A11" s="21" t="s">
        <v>20</v>
      </c>
      <c r="B11" s="22" t="s">
        <v>541</v>
      </c>
      <c r="C11" s="23">
        <f>COUNTIF(AccountManualUiUxCases[Status],"Fail")</f>
        <v>0</v>
      </c>
      <c r="D11" s="22" t="s">
        <v>542</v>
      </c>
    </row>
    <row r="12" ht="27" customHeight="1" spans="1:4" s="20" customFormat="1" x14ac:dyDescent="0.25">
      <c r="A12" s="21" t="s">
        <v>71</v>
      </c>
      <c r="B12" s="22" t="s">
        <v>318</v>
      </c>
      <c r="C12" s="23">
        <f>COUNTIF(AccountAutomatedCases[Priority],"P0")+COUNTIF(AccountManualUiUxCases[Priority],"P0")</f>
        <v>6</v>
      </c>
      <c r="D12" s="22" t="s">
        <v>543</v>
      </c>
    </row>
    <row r="13" ht="27" customHeight="1" spans="1:4" s="20" customFormat="1" x14ac:dyDescent="0.25">
      <c r="A13" s="21" t="s">
        <v>71</v>
      </c>
      <c r="B13" s="22" t="s">
        <v>90</v>
      </c>
      <c r="C13" s="23">
        <f>COUNTIF(AccountAutomatedCases[Priority],"P1")+COUNTIF(AccountManualUiUxCases[Priority],"P1")</f>
        <v>32</v>
      </c>
      <c r="D13" s="22" t="s">
        <v>544</v>
      </c>
    </row>
    <row r="14" ht="27" customHeight="1" spans="1:4" s="20" customFormat="1" x14ac:dyDescent="0.25">
      <c r="A14" s="21" t="s">
        <v>71</v>
      </c>
      <c r="B14" s="22" t="s">
        <v>289</v>
      </c>
      <c r="C14" s="23">
        <f>COUNTIF(AccountAutomatedCases[Priority],"P2")+COUNTIF(AccountManualUiUxCases[Priority],"P2")</f>
        <v>3</v>
      </c>
      <c r="D14" s="22" t="s">
        <v>545</v>
      </c>
    </row>
    <row r="15" ht="27" customHeight="1" spans="1:4" s="20" customFormat="1" x14ac:dyDescent="0.25">
      <c r="A15" s="21" t="s">
        <v>72</v>
      </c>
      <c r="B15" s="22" t="s">
        <v>91</v>
      </c>
      <c r="C15" s="23">
        <f>COUNTIF(AccountAutomatedCases[Severity],"Critical")+COUNTIF(AccountManualUiUxCases[Severity],"Critical")</f>
        <v>18</v>
      </c>
      <c r="D15" s="22" t="s">
        <v>546</v>
      </c>
    </row>
    <row r="16" ht="27" customHeight="1" spans="1:4" s="20" customFormat="1" x14ac:dyDescent="0.25">
      <c r="A16" s="21" t="s">
        <v>72</v>
      </c>
      <c r="B16" s="22" t="s">
        <v>230</v>
      </c>
      <c r="C16" s="23">
        <f>COUNTIF(AccountAutomatedCases[Severity],"Major")+COUNTIF(AccountManualUiUxCases[Severity],"Major")</f>
        <v>23</v>
      </c>
      <c r="D16" s="22" t="s">
        <v>547</v>
      </c>
    </row>
    <row r="17" ht="27" customHeight="1" spans="1:4" s="20" customFormat="1" x14ac:dyDescent="0.25">
      <c r="A17" s="21" t="s">
        <v>548</v>
      </c>
      <c r="B17" s="22" t="s">
        <v>549</v>
      </c>
      <c r="C17" s="23">
        <f>COUNTIF(AccountAutomatedCases[Execution Tags],"*@functional*")+COUNTIF(AccountManualUiUxCases[Execution Tags],"*@functional*")</f>
        <v>12</v>
      </c>
      <c r="D17" s="22" t="s">
        <v>550</v>
      </c>
    </row>
    <row r="18" ht="27" customHeight="1" spans="1:4" s="20" customFormat="1" x14ac:dyDescent="0.25">
      <c r="A18" s="21" t="s">
        <v>548</v>
      </c>
      <c r="B18" s="22" t="s">
        <v>551</v>
      </c>
      <c r="C18" s="23">
        <f>COUNTIF(AccountAutomatedCases[Execution Tags],"*@non-functional*")+COUNTIF(AccountManualUiUxCases[Execution Tags],"*@non-functional*")</f>
        <v>29</v>
      </c>
      <c r="D18" s="22" t="s">
        <v>552</v>
      </c>
    </row>
    <row r="19" ht="27" customHeight="1" spans="1:4" s="20" customFormat="1" x14ac:dyDescent="0.25">
      <c r="A19" s="21" t="s">
        <v>548</v>
      </c>
      <c r="B19" s="22" t="s">
        <v>553</v>
      </c>
      <c r="C19" s="23">
        <f>COUNTIF(AccountAutomatedCases[Execution Tags],"*@smoke*")+COUNTIF(AccountManualUiUxCases[Execution Tags],"*@smoke*")</f>
        <v>1</v>
      </c>
      <c r="D19" s="22" t="s">
        <v>554</v>
      </c>
    </row>
    <row r="20" ht="27" customHeight="1" spans="1:4" s="20" customFormat="1" x14ac:dyDescent="0.25">
      <c r="A20" s="21" t="s">
        <v>548</v>
      </c>
      <c r="B20" s="22" t="s">
        <v>555</v>
      </c>
      <c r="C20" s="23">
        <f>COUNTIF(AccountAutomatedCases[Execution Tags],"*@prod-smoke*")+COUNTIF(AccountManualUiUxCases[Execution Tags],"*@prod-smoke*")</f>
        <v>1</v>
      </c>
      <c r="D20" s="22" t="s">
        <v>556</v>
      </c>
    </row>
    <row r="21" ht="27" customHeight="1" spans="1:4" s="20" customFormat="1" x14ac:dyDescent="0.25">
      <c r="A21" s="21" t="s">
        <v>548</v>
      </c>
      <c r="B21" s="22" t="s">
        <v>557</v>
      </c>
      <c r="C21" s="23">
        <f>COUNTIF(AccountAutomatedCases[Execution Tags],"*@sanity*")+COUNTIF(AccountManualUiUxCases[Execution Tags],"*@sanity*")</f>
        <v>3</v>
      </c>
      <c r="D21" s="22" t="s">
        <v>558</v>
      </c>
    </row>
    <row r="22" ht="27" customHeight="1" spans="1:4" s="20" customFormat="1" x14ac:dyDescent="0.25">
      <c r="A22" s="21" t="s">
        <v>548</v>
      </c>
      <c r="B22" s="22" t="s">
        <v>559</v>
      </c>
      <c r="C22" s="23">
        <f>COUNTIF(AccountAutomatedCases[Execution Tags],"*@regression*")+COUNTIF(AccountManualUiUxCases[Execution Tags],"*@regression*")</f>
        <v>41</v>
      </c>
      <c r="D22" s="22" t="s">
        <v>560</v>
      </c>
    </row>
    <row r="23" ht="27" customHeight="1" spans="1:4" s="20" customFormat="1" x14ac:dyDescent="0.25">
      <c r="A23" s="21" t="s">
        <v>548</v>
      </c>
      <c r="B23" s="22" t="s">
        <v>561</v>
      </c>
      <c r="C23" s="23">
        <f>COUNTIF(AccountAutomatedCases[Execution Tags],"*@e2e*")+COUNTIF(AccountManualUiUxCases[Execution Tags],"*@e2e*")</f>
        <v>12</v>
      </c>
      <c r="D23" s="22" t="s">
        <v>562</v>
      </c>
    </row>
    <row r="24" ht="27" customHeight="1" spans="1:4" s="20" customFormat="1" x14ac:dyDescent="0.25">
      <c r="A24" s="21" t="s">
        <v>548</v>
      </c>
      <c r="B24" s="22" t="s">
        <v>563</v>
      </c>
      <c r="C24" s="23">
        <f>COUNTIF(AccountAutomatedCases[Execution Tags],"*@integration*")+COUNTIF(AccountManualUiUxCases[Execution Tags],"*@integration*")</f>
        <v>6</v>
      </c>
      <c r="D24" s="22" t="s">
        <v>564</v>
      </c>
    </row>
    <row r="25" ht="27" customHeight="1" spans="1:4" s="20" customFormat="1" x14ac:dyDescent="0.25">
      <c r="A25" s="21" t="s">
        <v>548</v>
      </c>
      <c r="B25" s="22" t="s">
        <v>242</v>
      </c>
      <c r="C25" s="23">
        <f>COUNTIF(AccountAutomatedCases[Execution Tags],"*@a11y*")+COUNTIF(AccountManualUiUxCases[Execution Tags],"*@a11y*")</f>
        <v>13</v>
      </c>
      <c r="D25" s="22" t="s">
        <v>565</v>
      </c>
    </row>
    <row r="26" ht="27" customHeight="1" spans="1:4" s="20" customFormat="1" x14ac:dyDescent="0.25">
      <c r="A26" s="21" t="s">
        <v>548</v>
      </c>
      <c r="B26" s="22" t="s">
        <v>287</v>
      </c>
      <c r="C26" s="23">
        <f>COUNTIF(AccountAutomatedCases[Execution Tags],"*@responsive*")+COUNTIF(AccountManualUiUxCases[Execution Tags],"*@responsive*")</f>
        <v>7</v>
      </c>
      <c r="D26" s="22" t="s">
        <v>566</v>
      </c>
    </row>
    <row r="27" ht="27" customHeight="1" spans="1:4" s="20" customFormat="1" x14ac:dyDescent="0.25">
      <c r="A27" s="21" t="s">
        <v>548</v>
      </c>
      <c r="B27" s="22" t="s">
        <v>465</v>
      </c>
      <c r="C27" s="23">
        <f>COUNTIF(AccountAutomatedCases[Execution Tags],"*@compatibility*")+COUNTIF(AccountManualUiUxCases[Execution Tags],"*@compatibility*")</f>
        <v>1</v>
      </c>
      <c r="D27" s="22" t="s">
        <v>567</v>
      </c>
    </row>
    <row r="28" ht="27" customHeight="1" spans="1:4" s="20" customFormat="1" x14ac:dyDescent="0.25">
      <c r="A28" s="21" t="s">
        <v>548</v>
      </c>
      <c r="B28" s="22" t="s">
        <v>568</v>
      </c>
      <c r="C28" s="23">
        <f>COUNTIF(AccountAutomatedCases[Execution Tags],"*@visual-regression*")+COUNTIF(AccountManualUiUxCases[Execution Tags],"*@visual-regression*")</f>
        <v>1</v>
      </c>
      <c r="D28" s="22" t="s">
        <v>569</v>
      </c>
    </row>
    <row r="29" ht="27" customHeight="1" spans="1:4" s="20" customFormat="1" x14ac:dyDescent="0.25">
      <c r="A29" s="21" t="s">
        <v>548</v>
      </c>
      <c r="B29" s="22" t="s">
        <v>478</v>
      </c>
      <c r="C29" s="23">
        <f>COUNTIF(AccountAutomatedCases[Execution Tags],"*@performance*")+COUNTIF(AccountManualUiUxCases[Execution Tags],"*@performance*")</f>
        <v>1</v>
      </c>
      <c r="D29" s="22" t="s">
        <v>570</v>
      </c>
    </row>
    <row r="30" ht="27" customHeight="1" spans="1:4" s="20" customFormat="1" x14ac:dyDescent="0.25">
      <c r="A30" s="21" t="s">
        <v>548</v>
      </c>
      <c r="B30" s="22" t="s">
        <v>504</v>
      </c>
      <c r="C30" s="23">
        <f>COUNTIF(AccountAutomatedCases[Execution Tags],"*@localization*")+COUNTIF(AccountManualUiUxCases[Execution Tags],"*@localization*")</f>
        <v>1</v>
      </c>
      <c r="D30" s="22" t="s">
        <v>571</v>
      </c>
    </row>
    <row r="31" ht="27" customHeight="1" spans="1:4" s="20" customFormat="1" x14ac:dyDescent="0.25">
      <c r="A31" s="21" t="s">
        <v>548</v>
      </c>
      <c r="B31" s="22" t="s">
        <v>517</v>
      </c>
      <c r="C31" s="23">
        <f>COUNTIF(AccountAutomatedCases[Execution Tags],"*@exploratory*")+COUNTIF(AccountManualUiUxCases[Execution Tags],"*@exploratory*")</f>
        <v>1</v>
      </c>
      <c r="D31" s="22" t="s">
        <v>572</v>
      </c>
    </row>
    <row r="32" ht="27" customHeight="1" spans="1:4" s="20" customFormat="1" x14ac:dyDescent="0.25">
      <c r="A32" s="21" t="s">
        <v>548</v>
      </c>
      <c r="B32" s="22" t="s">
        <v>573</v>
      </c>
      <c r="C32" s="23">
        <f>COUNTIF(AccountAutomatedCases[Execution Tags],"*@uat*")+COUNTIF(AccountManualUiUxCases[Execution Tags],"*@uat*")</f>
        <v>4</v>
      </c>
      <c r="D32" s="22" t="s">
        <v>574</v>
      </c>
    </row>
    <row r="33" ht="27" customHeight="1" spans="1:4" s="20" customFormat="1" x14ac:dyDescent="0.25">
      <c r="A33" s="21" t="s">
        <v>548</v>
      </c>
      <c r="B33" s="22" t="s">
        <v>38</v>
      </c>
      <c r="C33" s="23">
        <f>COUNTIF(AccountAutomatedCases[Execution Tags],"*@retest*")+COUNTIF(AccountManualUiUxCases[Execution Tags],"*@retest*")</f>
        <v>0</v>
      </c>
      <c r="D33" s="22" t="s">
        <v>575</v>
      </c>
    </row>
    <row r="34" ht="27" customHeight="1" spans="1:4" s="20" customFormat="1" x14ac:dyDescent="0.25">
      <c r="A34" s="21" t="s">
        <v>576</v>
      </c>
      <c r="B34" s="22" t="s">
        <v>242</v>
      </c>
      <c r="C34" s="23">
        <f>COUNTIF(AccountManualUiUxCases[UX Category],"Accessibility")</f>
        <v>5</v>
      </c>
      <c r="D34" s="22" t="s">
        <v>577</v>
      </c>
    </row>
    <row r="35" ht="27" customHeight="1" spans="1:4" s="20" customFormat="1" x14ac:dyDescent="0.25">
      <c r="A35" s="21" t="s">
        <v>576</v>
      </c>
      <c r="B35" s="22" t="s">
        <v>465</v>
      </c>
      <c r="C35" s="23">
        <f>COUNTIF(AccountManualUiUxCases[UX Category],"Compatibility")</f>
        <v>1</v>
      </c>
      <c r="D35" s="22" t="s">
        <v>578</v>
      </c>
    </row>
    <row r="36" ht="27" customHeight="1" spans="1:4" s="20" customFormat="1" x14ac:dyDescent="0.25">
      <c r="A36" s="21" t="s">
        <v>576</v>
      </c>
      <c r="B36" s="22" t="s">
        <v>275</v>
      </c>
      <c r="C36" s="23">
        <f>COUNTIF(AccountManualUiUxCases[UX Category],"Error state")</f>
        <v>7</v>
      </c>
      <c r="D36" s="22" t="s">
        <v>579</v>
      </c>
    </row>
    <row r="37" ht="27" customHeight="1" spans="1:4" s="20" customFormat="1" x14ac:dyDescent="0.25">
      <c r="A37" s="21" t="s">
        <v>576</v>
      </c>
      <c r="B37" s="22" t="s">
        <v>517</v>
      </c>
      <c r="C37" s="23">
        <f>COUNTIF(AccountManualUiUxCases[UX Category],"Exploratory")</f>
        <v>1</v>
      </c>
      <c r="D37" s="22" t="s">
        <v>580</v>
      </c>
    </row>
    <row r="38" ht="27" customHeight="1" spans="1:4" s="20" customFormat="1" x14ac:dyDescent="0.25">
      <c r="A38" s="21" t="s">
        <v>576</v>
      </c>
      <c r="B38" s="22" t="s">
        <v>504</v>
      </c>
      <c r="C38" s="23">
        <f>COUNTIF(AccountManualUiUxCases[UX Category],"Localization")</f>
        <v>1</v>
      </c>
      <c r="D38" s="22" t="s">
        <v>581</v>
      </c>
    </row>
    <row r="39" ht="27" customHeight="1" spans="1:4" s="20" customFormat="1" x14ac:dyDescent="0.25">
      <c r="A39" s="21" t="s">
        <v>576</v>
      </c>
      <c r="B39" s="22" t="s">
        <v>478</v>
      </c>
      <c r="C39" s="23">
        <f>COUNTIF(AccountManualUiUxCases[UX Category],"Performance")</f>
        <v>1</v>
      </c>
      <c r="D39" s="22" t="s">
        <v>582</v>
      </c>
    </row>
    <row r="40" ht="27" customHeight="1" spans="1:4" s="20" customFormat="1" x14ac:dyDescent="0.25">
      <c r="A40" s="21" t="s">
        <v>576</v>
      </c>
      <c r="B40" s="22" t="s">
        <v>287</v>
      </c>
      <c r="C40" s="23">
        <f>COUNTIF(AccountManualUiUxCases[UX Category],"Responsive")</f>
        <v>5</v>
      </c>
      <c r="D40" s="22" t="s">
        <v>583</v>
      </c>
    </row>
    <row r="41" ht="27" customHeight="1" spans="1:4" s="20" customFormat="1" x14ac:dyDescent="0.25">
      <c r="A41" s="21" t="s">
        <v>576</v>
      </c>
      <c r="B41" s="22" t="s">
        <v>228</v>
      </c>
      <c r="C41" s="23">
        <f>COUNTIF(AccountManualUiUxCases[UX Category],"UI")</f>
        <v>3</v>
      </c>
      <c r="D41" s="22" t="s">
        <v>584</v>
      </c>
    </row>
    <row r="42" ht="27" customHeight="1" spans="1:4" s="20" customFormat="1" x14ac:dyDescent="0.25">
      <c r="A42" s="21" t="s">
        <v>576</v>
      </c>
      <c r="B42" s="22" t="s">
        <v>264</v>
      </c>
      <c r="C42" s="23">
        <f>COUNTIF(AccountManualUiUxCases[UX Category],"UX")</f>
        <v>4</v>
      </c>
      <c r="D42" s="22" t="s">
        <v>585</v>
      </c>
    </row>
    <row r="43" ht="27" customHeight="1" spans="1:4" s="20" customFormat="1" x14ac:dyDescent="0.25">
      <c r="A43" s="21" t="s">
        <v>576</v>
      </c>
      <c r="B43" s="22" t="s">
        <v>491</v>
      </c>
      <c r="C43" s="23">
        <f>COUNTIF(AccountManualUiUxCases[UX Category],"Visual regression")</f>
        <v>1</v>
      </c>
      <c r="D43" s="22" t="s">
        <v>586</v>
      </c>
    </row>
  </sheetData>
  <autoFilter ref="A4:D43"/>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24" customFormat="1" x14ac:dyDescent="0.25">
      <c r="A1" s="24" t="s">
        <v>587</v>
      </c>
      <c r="B1" s="24" t="s">
        <v>588</v>
      </c>
      <c r="C1" s="24" t="s">
        <v>589</v>
      </c>
      <c r="D1" s="24" t="s">
        <v>590</v>
      </c>
      <c r="E1" s="24" t="s">
        <v>591</v>
      </c>
      <c r="F1" s="24" t="s">
        <v>592</v>
      </c>
    </row>
    <row r="2" ht="42" customHeight="1" spans="1:6" s="4" customFormat="1" x14ac:dyDescent="0.25">
      <c r="A2" s="8" t="s">
        <v>60</v>
      </c>
      <c r="B2" s="4" t="s">
        <v>29</v>
      </c>
      <c r="C2" s="4" t="s">
        <v>593</v>
      </c>
      <c r="D2" s="4" t="s">
        <v>594</v>
      </c>
      <c r="E2" s="4" t="s">
        <v>595</v>
      </c>
      <c r="F2" s="4" t="s">
        <v>596</v>
      </c>
    </row>
    <row r="3" ht="42" customHeight="1" spans="1:6" s="4" customFormat="1" x14ac:dyDescent="0.25">
      <c r="A3" s="8" t="s">
        <v>62</v>
      </c>
      <c r="B3" s="4" t="s">
        <v>29</v>
      </c>
      <c r="C3" s="4" t="s">
        <v>593</v>
      </c>
      <c r="D3" s="4" t="s">
        <v>594</v>
      </c>
      <c r="E3" s="4" t="s">
        <v>597</v>
      </c>
      <c r="F3" s="4" t="s">
        <v>598</v>
      </c>
    </row>
    <row r="4" ht="42" customHeight="1" spans="1:6" s="4" customFormat="1" x14ac:dyDescent="0.25">
      <c r="A4" s="8" t="s">
        <v>64</v>
      </c>
      <c r="B4" s="4" t="s">
        <v>29</v>
      </c>
      <c r="C4" s="4" t="s">
        <v>593</v>
      </c>
      <c r="D4" s="4" t="s">
        <v>594</v>
      </c>
      <c r="E4" s="4" t="s">
        <v>599</v>
      </c>
      <c r="F4" s="4" t="s">
        <v>600</v>
      </c>
    </row>
    <row r="5" ht="42" customHeight="1" spans="1:6" s="4" customFormat="1" x14ac:dyDescent="0.25">
      <c r="A5" s="8" t="s">
        <v>65</v>
      </c>
      <c r="B5" s="4" t="s">
        <v>29</v>
      </c>
      <c r="C5" s="4" t="s">
        <v>593</v>
      </c>
      <c r="D5" s="4" t="s">
        <v>594</v>
      </c>
      <c r="E5" s="4" t="s">
        <v>601</v>
      </c>
      <c r="F5" s="4" t="s">
        <v>602</v>
      </c>
    </row>
    <row r="6" ht="42" customHeight="1" spans="1:6" s="4" customFormat="1" x14ac:dyDescent="0.25">
      <c r="A6" s="8" t="s">
        <v>66</v>
      </c>
      <c r="B6" s="4" t="s">
        <v>29</v>
      </c>
      <c r="C6" s="4" t="s">
        <v>593</v>
      </c>
      <c r="D6" s="4" t="s">
        <v>594</v>
      </c>
      <c r="E6" s="4" t="s">
        <v>603</v>
      </c>
      <c r="F6" s="4" t="s">
        <v>604</v>
      </c>
    </row>
    <row r="7" ht="42" customHeight="1" spans="1:6" s="4" customFormat="1" x14ac:dyDescent="0.25">
      <c r="A7" s="8" t="s">
        <v>67</v>
      </c>
      <c r="B7" s="4" t="s">
        <v>14</v>
      </c>
      <c r="C7" s="4" t="s">
        <v>593</v>
      </c>
      <c r="D7" s="4" t="s">
        <v>594</v>
      </c>
      <c r="E7" s="4" t="s">
        <v>605</v>
      </c>
      <c r="F7" s="4" t="s">
        <v>606</v>
      </c>
    </row>
    <row r="8" ht="42" customHeight="1" spans="1:6" s="4" customFormat="1" x14ac:dyDescent="0.25">
      <c r="A8" s="8" t="s">
        <v>210</v>
      </c>
      <c r="B8" s="4" t="s">
        <v>607</v>
      </c>
      <c r="C8" s="4" t="s">
        <v>593</v>
      </c>
      <c r="D8" s="4" t="s">
        <v>594</v>
      </c>
      <c r="E8" s="4" t="s">
        <v>608</v>
      </c>
      <c r="F8" s="4" t="s">
        <v>609</v>
      </c>
    </row>
    <row r="9" ht="42" customHeight="1" spans="1:6" s="4" customFormat="1" x14ac:dyDescent="0.25">
      <c r="A9" s="8" t="s">
        <v>68</v>
      </c>
      <c r="B9" s="4" t="s">
        <v>29</v>
      </c>
      <c r="C9" s="4" t="s">
        <v>593</v>
      </c>
      <c r="D9" s="4" t="s">
        <v>594</v>
      </c>
      <c r="E9" s="4" t="s">
        <v>610</v>
      </c>
      <c r="F9" s="4" t="s">
        <v>611</v>
      </c>
    </row>
    <row r="10" ht="42" customHeight="1" spans="1:6" s="4" customFormat="1" x14ac:dyDescent="0.25">
      <c r="A10" s="8" t="s">
        <v>612</v>
      </c>
      <c r="B10" s="4" t="s">
        <v>29</v>
      </c>
      <c r="C10" s="4" t="s">
        <v>593</v>
      </c>
      <c r="D10" s="4" t="s">
        <v>594</v>
      </c>
      <c r="E10" s="4" t="s">
        <v>613</v>
      </c>
      <c r="F10" s="4" t="s">
        <v>242</v>
      </c>
    </row>
    <row r="11" ht="42" customHeight="1" spans="1:6" s="4" customFormat="1" x14ac:dyDescent="0.25">
      <c r="A11" s="8" t="s">
        <v>212</v>
      </c>
      <c r="B11" s="4" t="s">
        <v>607</v>
      </c>
      <c r="C11" s="4" t="s">
        <v>593</v>
      </c>
      <c r="D11" s="4" t="s">
        <v>594</v>
      </c>
      <c r="E11" s="4" t="s">
        <v>614</v>
      </c>
      <c r="F11" s="4" t="s">
        <v>615</v>
      </c>
    </row>
    <row r="12" ht="42" customHeight="1" spans="1:6" s="4" customFormat="1" x14ac:dyDescent="0.25">
      <c r="A12" s="8" t="s">
        <v>71</v>
      </c>
      <c r="B12" s="4" t="s">
        <v>29</v>
      </c>
      <c r="C12" s="4" t="s">
        <v>593</v>
      </c>
      <c r="D12" s="4" t="s">
        <v>594</v>
      </c>
      <c r="E12" s="4" t="s">
        <v>616</v>
      </c>
      <c r="F12" s="4" t="s">
        <v>90</v>
      </c>
    </row>
    <row r="13" ht="42" customHeight="1" spans="1:6" s="4" customFormat="1" x14ac:dyDescent="0.25">
      <c r="A13" s="8" t="s">
        <v>72</v>
      </c>
      <c r="B13" s="4" t="s">
        <v>29</v>
      </c>
      <c r="C13" s="4" t="s">
        <v>593</v>
      </c>
      <c r="D13" s="4" t="s">
        <v>594</v>
      </c>
      <c r="E13" s="4" t="s">
        <v>617</v>
      </c>
      <c r="F13" s="4" t="s">
        <v>230</v>
      </c>
    </row>
    <row r="14" ht="42" customHeight="1" spans="1:6" s="4" customFormat="1" x14ac:dyDescent="0.25">
      <c r="A14" s="8" t="s">
        <v>73</v>
      </c>
      <c r="B14" s="4" t="s">
        <v>14</v>
      </c>
      <c r="C14" s="4" t="s">
        <v>593</v>
      </c>
      <c r="D14" s="4" t="s">
        <v>594</v>
      </c>
      <c r="E14" s="4" t="s">
        <v>618</v>
      </c>
      <c r="F14" s="4" t="s">
        <v>92</v>
      </c>
    </row>
    <row r="15" ht="42" customHeight="1" spans="1:6" s="4" customFormat="1" x14ac:dyDescent="0.25">
      <c r="A15" s="8" t="s">
        <v>74</v>
      </c>
      <c r="B15" s="4" t="s">
        <v>14</v>
      </c>
      <c r="C15" s="4" t="s">
        <v>593</v>
      </c>
      <c r="D15" s="4" t="s">
        <v>594</v>
      </c>
      <c r="E15" s="4" t="s">
        <v>619</v>
      </c>
      <c r="F15" s="4" t="s">
        <v>133</v>
      </c>
    </row>
    <row r="16" ht="42" customHeight="1" spans="1:6" s="4" customFormat="1" x14ac:dyDescent="0.25">
      <c r="A16" s="8" t="s">
        <v>27</v>
      </c>
      <c r="B16" s="4" t="s">
        <v>29</v>
      </c>
      <c r="C16" s="4" t="s">
        <v>593</v>
      </c>
      <c r="D16" s="4" t="s">
        <v>594</v>
      </c>
      <c r="E16" s="4" t="s">
        <v>620</v>
      </c>
      <c r="F16" s="4" t="s">
        <v>621</v>
      </c>
    </row>
    <row r="17" ht="42" customHeight="1" spans="1:6" s="4" customFormat="1" x14ac:dyDescent="0.25">
      <c r="A17" s="8" t="s">
        <v>30</v>
      </c>
      <c r="B17" s="4" t="s">
        <v>29</v>
      </c>
      <c r="C17" s="4" t="s">
        <v>593</v>
      </c>
      <c r="D17" s="4" t="s">
        <v>594</v>
      </c>
      <c r="E17" s="4" t="s">
        <v>622</v>
      </c>
      <c r="F17" s="4" t="s">
        <v>623</v>
      </c>
    </row>
    <row r="18" ht="42" customHeight="1" spans="1:6" s="4" customFormat="1" x14ac:dyDescent="0.25">
      <c r="A18" s="8" t="s">
        <v>76</v>
      </c>
      <c r="B18" s="4" t="s">
        <v>14</v>
      </c>
      <c r="C18" s="4" t="s">
        <v>593</v>
      </c>
      <c r="D18" s="4" t="s">
        <v>594</v>
      </c>
      <c r="E18" s="4" t="s">
        <v>624</v>
      </c>
      <c r="F18" s="4" t="s">
        <v>625</v>
      </c>
    </row>
    <row r="19" ht="42" customHeight="1" spans="1:6" s="4" customFormat="1" x14ac:dyDescent="0.25">
      <c r="A19" s="8" t="s">
        <v>214</v>
      </c>
      <c r="B19" s="4" t="s">
        <v>607</v>
      </c>
      <c r="C19" s="4" t="s">
        <v>594</v>
      </c>
      <c r="D19" s="4" t="s">
        <v>594</v>
      </c>
      <c r="E19" s="4" t="s">
        <v>626</v>
      </c>
      <c r="F19" s="4" t="s">
        <v>627</v>
      </c>
    </row>
    <row r="20" ht="42" customHeight="1" spans="1:6" s="4" customFormat="1" x14ac:dyDescent="0.25">
      <c r="A20" s="8" t="s">
        <v>215</v>
      </c>
      <c r="B20" s="4" t="s">
        <v>607</v>
      </c>
      <c r="C20" s="4" t="s">
        <v>594</v>
      </c>
      <c r="D20" s="4" t="s">
        <v>628</v>
      </c>
      <c r="E20" s="4" t="s">
        <v>629</v>
      </c>
      <c r="F20" s="4" t="s">
        <v>630</v>
      </c>
    </row>
    <row r="21" ht="42" customHeight="1" spans="1:6" s="4" customFormat="1" x14ac:dyDescent="0.25">
      <c r="A21" s="8" t="s">
        <v>631</v>
      </c>
      <c r="B21" s="4" t="s">
        <v>607</v>
      </c>
      <c r="C21" s="4" t="s">
        <v>594</v>
      </c>
      <c r="D21" s="4" t="s">
        <v>628</v>
      </c>
      <c r="E21" s="4" t="s">
        <v>632</v>
      </c>
      <c r="F21" s="4" t="s">
        <v>633</v>
      </c>
    </row>
    <row r="22" ht="42" customHeight="1" spans="1:6" s="4" customFormat="1" x14ac:dyDescent="0.25">
      <c r="A22" s="8" t="s">
        <v>218</v>
      </c>
      <c r="B22" s="4" t="s">
        <v>607</v>
      </c>
      <c r="C22" s="4" t="s">
        <v>594</v>
      </c>
      <c r="D22" s="4" t="s">
        <v>634</v>
      </c>
      <c r="E22" s="4" t="s">
        <v>635</v>
      </c>
      <c r="F22" s="4" t="s">
        <v>636</v>
      </c>
    </row>
    <row r="23" ht="42" customHeight="1" spans="1:6" s="4" customFormat="1" x14ac:dyDescent="0.25">
      <c r="A23" s="8" t="s">
        <v>219</v>
      </c>
      <c r="B23" s="4" t="s">
        <v>607</v>
      </c>
      <c r="C23" s="4" t="s">
        <v>594</v>
      </c>
      <c r="D23" s="4" t="s">
        <v>593</v>
      </c>
      <c r="E23" s="4" t="s">
        <v>637</v>
      </c>
      <c r="F23" s="4" t="s">
        <v>638</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Account UI/UX Test Cases</dc:title>
  <dc:subject>Human-readable automated and manual UI/UX coverage for June Account</dc:subject>
  <dc:description>{"schemaVersion":1,"module":"Account","generatedAt":"2026-09-23T12:59:47.073Z","automatedCount":12,"manualCount":29,"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account-data-driven.xlsx":"5f8fbf667349f8cdddb253657acde4f3304d14e82eb2308b80fc36d122e953b5","config/environments.json":"90fe37e6e777c7704ce19b19b103f9b48b12d74aae18e677c026ef7163c51661"},"workbookHash":"8ecf1675f0cc0e783737cfbd2c232f045be5fd82311483f964325d8d28398e0c"}</dc:description>
  <cp:keywords/>
  <cp:category/>
  <cp:lastModifiedBy>QA Copilot Playwright</cp:lastModifiedBy>
  <dcterms:created xsi:type="dcterms:W3CDTF">2026-09-23T12:59:47Z</dcterms:created>
  <dcterms:modified xsi:type="dcterms:W3CDTF">2026-09-23T12:59:47Z</dcterms:modified>
</cp:coreProperties>
</file>