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<sst xmlns="http://schemas.openxmlformats.org/spreadsheetml/2006/main" count="1797" uniqueCount="865">
  <si>
    <t>Guardrails UI/UX Test Suite</t>
  </si>
  <si>
    <t>Human-readable test design for review, execution and stakeholder sharing</t>
  </si>
  <si>
    <t>Topic</t>
  </si>
  <si>
    <t>Guidance</t>
  </si>
  <si>
    <t>Applies To</t>
  </si>
  <si>
    <t>Purpose</t>
  </si>
  <si>
    <t>Independent Guardrails UI/UX test-case workbook. Scope: Guardrail discovery, PII and moderation configuration, URL filtering, access, nested dialogs, persistence and security.</t>
  </si>
  <si>
    <t>All sheets</t>
  </si>
  <si>
    <t>Coverage</t>
  </si>
  <si>
    <t>30 current automated cases plus 34 additional manual UI/UX cases.</t>
  </si>
  <si>
    <t>Summary</t>
  </si>
  <si>
    <t>Existing data preserved</t>
  </si>
  <si>
    <t>The runtime workbook test-data/guardrails-data-driven.xlsx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</si>
  <si>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</si>
  <si>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</si>
  <si>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</si>
  <si>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</si>
  <si>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</si>
  <si>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</si>
  <si>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guardrails.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</si>
  <si>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</si>
  <si>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</si>
  <si>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</si>
  <si>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</si>
  <si>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</si>
  <si>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</si>
  <si>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</si>
  <si>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</si>
  <si>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</si>
  <si>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</si>
  <si>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</si>
  <si>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</si>
  <si>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</si>
  <si>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</si>
  <si>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</si>
  <si>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</si>
  <si>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</si>
  <si>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</si>
  <si>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</si>
  <si>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</si>
  <si>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</si>
  <si>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</si>
  <si>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</si>
  <si>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</si>
  <si>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</si>
  <si>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</si>
  <si>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</si>
  <si>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</si>
  <si>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</si>
  <si>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</si>
  <si>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</si>
  <si>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</si>
  <si>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</si>
  <si>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</si>
  <si>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</si>
  <si>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</si>
  <si>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</si>
  <si>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</si>
  <si>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</si>
  <si>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</si>
  <si>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</si>
  <si>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</si>
  <si>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</si>
  <si>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</si>
  <si>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</si>
  <si>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</si>
  <si>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</si>
  <si>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</si>
  <si>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</si>
  <si>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</si>
  <si>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</si>
  <si>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</si>
  <si>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</si>
  <si>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</si>
  <si>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</si>
  <si>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</si>
  <si>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</si>
  <si>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</si>
  <si>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</si>
  <si>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GR-001</t>
  </si>
  <si>
    <t>Guardrails</t>
  </si>
  <si>
    <t>Guardrail navigation</t>
  </si>
  <si>
    <t>Open the Guardrails module</t>
  </si>
  <si>
    <t>Verify authenticated entry to the Guardrails module.</t>
  </si>
  <si>
    <t>1. A valid authenticated June session is available.</t>
  </si>
  <si>
    <t xml:space="preserve">1. Open Guardrails.
2. Verify the heading, search control and Create Guardrail action.</t>
  </si>
  <si>
    <t>No additional row data. Uses shared module settings and current page state.</t>
  </si>
  <si>
    <t>The Guardrails page opens and is ready for authenticated interaction.</t>
  </si>
  <si>
    <t>Functional</t>
  </si>
  <si>
    <t>Positive</t>
  </si>
  <si>
    <t>P1</t>
  </si>
  <si>
    <t>Major</t>
  </si>
  <si>
    <t>Automated</t>
  </si>
  <si>
    <t>NO</t>
  </si>
  <si>
    <t>Configured DEV / UAT / LIVE</t>
  </si>
  <si>
    <t>Functional, Smoke, Production Smoke, Sanity, Regression, UAT</t>
  </si>
  <si>
    <t>@functional @smoke @prod-smoke @sanity @regression @uat</t>
  </si>
  <si>
    <t>flow, smoke, guardrails, navigation</t>
  </si>
  <si>
    <t>guardrails-data-driven.xlsx</t>
  </si>
  <si>
    <t/>
  </si>
  <si>
    <t>GR-002</t>
  </si>
  <si>
    <t>Guardrail discovery</t>
  </si>
  <si>
    <t>Search for a visible guardrail and clear the search</t>
  </si>
  <si>
    <t>Verify recorded search behavior against live business data.</t>
  </si>
  <si>
    <t xml:space="preserve">1. A valid authenticated June session is available.
2. At least one guardrail is visible.</t>
  </si>
  <si>
    <t xml:space="preserve">1. Capture the visible guardrail names.
2. Search with one visible guardrail name.
3. Verify every result matches.
4. Clear search and verify the original list returns.</t>
  </si>
  <si>
    <t>Search returns matching guardrails and clearing restores the original list.</t>
  </si>
  <si>
    <t>Functional, Sanity, Regression, UAT</t>
  </si>
  <si>
    <t>@functional @sanity @regression @uat</t>
  </si>
  <si>
    <t>flow, guardrails, search, regression</t>
  </si>
  <si>
    <t>GR-003</t>
  </si>
  <si>
    <t>Switch Guardrail layouts and refresh the list</t>
  </si>
  <si>
    <t>Exercise both recorded layouts and the refresh action.</t>
  </si>
  <si>
    <t xml:space="preserve">1. Select grid layout.
2. Select list layout.
3. Refresh the guardrail list.
4. Verify the page remains usable.</t>
  </si>
  <si>
    <t xml:space="preserve">View Indexes: 0, 1
Refresh Index: 2</t>
  </si>
  <si>
    <t>Both layouts select correctly and refresh completes without losing page controls.</t>
  </si>
  <si>
    <t>Functional, Regression</t>
  </si>
  <si>
    <t>@functional @regression</t>
  </si>
  <si>
    <t>flow, guardrails, layout, refresh, regression</t>
  </si>
  <si>
    <t>GR-004</t>
  </si>
  <si>
    <t>Guardrail creation form</t>
  </si>
  <si>
    <t>Show every recorded Guardrail field and type</t>
  </si>
  <si>
    <t>Verify required basics, tabs and all input and output guardrail choices.</t>
  </si>
  <si>
    <t xml:space="preserve">1. Open Create Guardrail.
2. Verify required Name and Description controls.
3. Verify Input, Output and Access tabs.
4. Verify Contains PII, Moderation and Jailbreak on Input.
5. Verify URL Filter and Contains PII on Output.
6. Cancel.</t>
  </si>
  <si>
    <t xml:space="preserve">Tabs: Input, Output, Access
Input Types: Contains PII, Moderation, Jailbreak
Output Types: URL Filter, Contains PII</t>
  </si>
  <si>
    <t>All recorded fields, tabs and Guardrail types are available.</t>
  </si>
  <si>
    <t>flow, guardrails, create, form, types</t>
  </si>
  <si>
    <t>GR-005</t>
  </si>
  <si>
    <t>Guardrail creation validation</t>
  </si>
  <si>
    <t>Validate every required Guardrail field</t>
  </si>
  <si>
    <t>Exercise empty and individually missing required values.</t>
  </si>
  <si>
    <t xml:space="preserve">1. Try Next with Name and Description empty.
2. Try Next with only Name.
3. Try Next with only Description.
4. Enter both values and verify Output opens.
5. Cancel.</t>
  </si>
  <si>
    <t>Invalid Basics: 1) Label=both fields are empty, Name=, Description=; 2) Label=name is present and description is empty, Name={{DRAFT_NAME}}, Description=; 3) Label=name is empty and description is present, Name=, Description={{CREATED_DESCRIPTION}}</t>
  </si>
  <si>
    <t>Missing required values remain on Input while complete values advance to Output.</t>
  </si>
  <si>
    <t>Negative</t>
  </si>
  <si>
    <t>flow, negative, guardrails, validation, required-fields</t>
  </si>
  <si>
    <t>GR-006</t>
  </si>
  <si>
    <t>Reject whitespace-only Guardrail basics</t>
  </si>
  <si>
    <t>Verify required text values are trimmed before wizard progression.</t>
  </si>
  <si>
    <t xml:space="preserve">1. Open Create Guardrail.
2. Enter spaces in Name and Description.
3. Choose Next.
4. Verify Input remains active.
5. Cancel.</t>
  </si>
  <si>
    <t xml:space="preserve">Whitespace Name:    
Whitespace Description:    </t>
  </si>
  <si>
    <t>Whitespace-only Name and Description are rejected and cannot advance.</t>
  </si>
  <si>
    <t>Critical</t>
  </si>
  <si>
    <t>flow, negative, guardrails, validation, whitespace</t>
  </si>
  <si>
    <t>GR-007</t>
  </si>
  <si>
    <t>Guardrail cancellation</t>
  </si>
  <si>
    <t>Cancel a Guardrail draft without persistence</t>
  </si>
  <si>
    <t>Verify cancelling a uniquely named draft creates no Guardrail.</t>
  </si>
  <si>
    <t xml:space="preserve">1. Enter a unique valid draft.
2. Enable Jailbreak.
3. Cancel the wizard.
4. Search for the draft name.</t>
  </si>
  <si>
    <t>The cancelled Guardrail draft is absent from the list.</t>
  </si>
  <si>
    <t>Positive + Negative</t>
  </si>
  <si>
    <t>flow, guardrails, cancel, persistence</t>
  </si>
  <si>
    <t>GR-008</t>
  </si>
  <si>
    <t>Input PII settings</t>
  </si>
  <si>
    <t>Show all eight PII identity choices</t>
  </si>
  <si>
    <t>Verify the recorded Indian identity allowlist and settings controls.</t>
  </si>
  <si>
    <t xml:space="preserve">1. Open Contains PII settings.
2. Verify Aadhaar, PAN, Voter ID, Driving License, Passport, IFSC, UPI and Ration Card.
3. Verify PII Entities and Fallback Message.
4. Close without saving.</t>
  </si>
  <si>
    <t xml:space="preserve">Identity Labels: Aadhaar Number, PAN Card, Voter ID, Driving License, Passport Number, IFSC Code, UPI ID, Ration Card
Identity Count: 8
Entity Placeholder: Add entity name (e.g. email, phone, name)
Fallback Placeholder: Required message when Contains PII is triggered</t>
  </si>
  <si>
    <t>Contains PII displays exactly eight recorded identity choices and its configuration fields.</t>
  </si>
  <si>
    <t>flow, positive, guardrails, pii, identities</t>
  </si>
  <si>
    <t>GR-009</t>
  </si>
  <si>
    <t>Select and clear every PII identity</t>
  </si>
  <si>
    <t>Verify Select all and clear behavior across all eight identities.</t>
  </si>
  <si>
    <t xml:space="preserve">1. Open Contains PII settings.
2. Choose Select all.
3. Verify all eight identities are checked.
4. Choose Select all again.
5. Verify all identities are cleared.
6. Close.</t>
  </si>
  <si>
    <t>Identity Count: 8</t>
  </si>
  <si>
    <t>Select all checks every identity and the second selection clears every identity.</t>
  </si>
  <si>
    <t>flow, positive, guardrails, pii, select-all</t>
  </si>
  <si>
    <t>GR-010</t>
  </si>
  <si>
    <t>Validate and save a custom PII entity</t>
  </si>
  <si>
    <t>Verify empty entity input is ignored and valid custom input is retained in the draft.</t>
  </si>
  <si>
    <t xml:space="preserve">1. Open Contains PII settings.
2. Choose Add with an empty entity.
3. Verify no blank entity is added.
4. Add the configured custom entity and fallback message.
5. Save settings and verify Contains PII is enabled.
6. Cancel the Guardrail draft.</t>
  </si>
  <si>
    <t xml:space="preserve">Custom Entity: {{PII_CUSTOM_ENTITY}}
Fallback Message: {{PII_FALLBACK_MESSAGE}}</t>
  </si>
  <si>
    <t>Blank entities are ignored while a valid custom entity and fallback save in the draft.</t>
  </si>
  <si>
    <t>flow, guardrails, pii, validation, custom-entity</t>
  </si>
  <si>
    <t>GR-011</t>
  </si>
  <si>
    <t>Input Moderation settings</t>
  </si>
  <si>
    <t>Show all thirteen moderation categories</t>
  </si>
  <si>
    <t>Verify every moderation classifier recorded from the live dialog.</t>
  </si>
  <si>
    <t xml:space="preserve">1. Open Moderation settings.
2. Verify all thirteen category codes.
3. Verify Fallback Message.
4. Close without saving.</t>
  </si>
  <si>
    <t xml:space="preserve">Moderation Codes: sexual, sexual/minors, hate, hate/threatening, harassment, harassment/threatening, self-harm, self-harm/intent, self-harm/instructions, violence, violence/graphic, illicit, illicit/violent
Category Count: 13
Fallback Placeholder: Required message when Moderation is triggered</t>
  </si>
  <si>
    <t>Moderation displays exactly thirteen recorded classifier categories.</t>
  </si>
  <si>
    <t>flow, positive, guardrails, moderation, categories</t>
  </si>
  <si>
    <t>GR-012</t>
  </si>
  <si>
    <t>Select and clear every moderation category</t>
  </si>
  <si>
    <t>Verify Select all and Clear behavior plus fallback-message saving.</t>
  </si>
  <si>
    <t xml:space="preserve">1. Open Moderation settings.
2. Select all categories and verify all thirteen.
3. Choose Clear and verify none remain selected.
4. Select configured categories.
5. Enter the fallback message and save.
6. Cancel the Guardrail draft.</t>
  </si>
  <si>
    <t xml:space="preserve">Category Count: 13
Selected Codes: sexual, hate, violence
Fallback Message: {{MODERATION_FALLBACK_MESSAGE}}</t>
  </si>
  <si>
    <t>All moderation categories can be selected, cleared and configured with a fallback.</t>
  </si>
  <si>
    <t>flow, positive, guardrails, moderation, select-all</t>
  </si>
  <si>
    <t>GR-013</t>
  </si>
  <si>
    <t>Input Jailbreak</t>
  </si>
  <si>
    <t>Toggle the Jailbreak input Guardrail</t>
  </si>
  <si>
    <t>Verify the recorded direct toggle behavior for Jailbreak detection.</t>
  </si>
  <si>
    <t xml:space="preserve">1. Open Create Guardrail.
2. Enable Jailbreak.
3. Verify it is checked.
4. Disable Jailbreak and verify it is unchecked.
5. Cancel.</t>
  </si>
  <si>
    <t>Jailbreak can be enabled and disabled without opening a settings dialog.</t>
  </si>
  <si>
    <t>flow, positive, guardrails, jailbreak, toggle</t>
  </si>
  <si>
    <t>GR-014</t>
  </si>
  <si>
    <t>Output Guardrails</t>
  </si>
  <si>
    <t>Configure and toggle both output Guardrail types</t>
  </si>
  <si>
    <t>Verify URL Filter and Contains PII output settings and independent state.</t>
  </si>
  <si>
    <t xml:space="preserve">1. Open Output.
2. Configure URL Filter allow-list and fallback values.
3. Configure output Contains PII identity, entity and fallback values.
4. Verify both types are checked.
5. Disable both and verify both are unchecked.
6. Cancel.</t>
  </si>
  <si>
    <t xml:space="preserve">Allowed Url: https://example.com/guardrails/{{RUN_COMPACT}}
Url Fallback: URL blocked by QA policy at {{RUN_DISPLAY}}.
Selected Identity: PAN Card
Custom Entity: {{PII_CUSTOM_ENTITY}}
Pii Fallback: {{PII_FALLBACK_MESSAGE}}</t>
  </si>
  <si>
    <t>Both output types save their recorded settings and toggle independently.</t>
  </si>
  <si>
    <t>Functional, Regression, Integration</t>
  </si>
  <si>
    <t>@functional @regression @integration</t>
  </si>
  <si>
    <t>flow, positive, guardrails, output, toggle</t>
  </si>
  <si>
    <t>GR-015</t>
  </si>
  <si>
    <t>Guardrail wizard</t>
  </si>
  <si>
    <t>Preserve Guardrail values across tabs and Back</t>
  </si>
  <si>
    <t>Verify wizard navigation retains basic values and enabled types.</t>
  </si>
  <si>
    <t xml:space="preserve">1. Enter valid basics and enable Jailbreak.
2. Advance to Output and enable URL Filter.
3. Advance to Access.
4. Use Back twice.
5. Verify values and switches remain selected.
6. Cancel.</t>
  </si>
  <si>
    <t xml:space="preserve">Allowed Url: https://example.com/guardrails/{{RUN_COMPACT}}/wizard
Url Fallback: Wizard URL blocked at {{RUN_DISPLAY}}.</t>
  </si>
  <si>
    <t>Guardrail values and type selections survive forward and backward navigation.</t>
  </si>
  <si>
    <t>flow, positive, guardrails, wizard, data-integrity</t>
  </si>
  <si>
    <t>GR-016</t>
  </si>
  <si>
    <t>Guardrail access</t>
  </si>
  <si>
    <t>Validate Access controls and Owner</t>
  </si>
  <si>
    <t>Verify employee search, selected-user count and Owner without saving.</t>
  </si>
  <si>
    <t xml:space="preserve">1. Prepare a valid draft and open Access.
2. Enter and clear employee search.
3. Verify Selected Users is zero.
4. Verify Owner is visible.
5. Cancel.</t>
  </si>
  <si>
    <t xml:space="preserve">Employee Search: qa-employee-does-not-exist@example.invalid
Selected Users Text: Selected Users (0)
Owner Text: Owner</t>
  </si>
  <si>
    <t>Access controls work without granting or persisting additional access.</t>
  </si>
  <si>
    <t>flow, guardrails, access, authorization, cancel</t>
  </si>
  <si>
    <t>GR-017</t>
  </si>
  <si>
    <t>Guardrail creation</t>
  </si>
  <si>
    <t>Create a date-time-stamped Guardrail</t>
  </si>
  <si>
    <t>Create real synthetic Guardrail data using the run timestamp.</t>
  </si>
  <si>
    <t xml:space="preserve">1. A valid authenticated June session is available.
2. The active business permits QA Guardrail creation.</t>
  </si>
  <si>
    <t xml:space="preserve">1. Enter the unique timestamped name and description.
2. Configure Contains PII with a selected identity, custom entity and fallback.
3. Configure both Output Guardrails.
4. Verify Access Owner.
5. Create the Guardrail and search for its exact name.</t>
  </si>
  <si>
    <t xml:space="preserve">Selected Identity: PAN Card
Custom Entity: {{PII_CUSTOM_ENTITY}}
Fallback Message: {{PII_FALLBACK_MESSAGE}}
Allowed Url: https://example.com/guardrails/{{RUN_COMPACT}}
Url Fallback: URL blocked by QA policy at {{RUN_DISPLAY}}.
Output Selected Identity: PAN Card
Output Custom Entity: {{PII_CUSTOM_ENTITY}}_output
Output Fallback: {{PII_FALLBACK_MESSAGE}}
Selected Users Text: Selected Users (0)
Owner Text: Owner</t>
  </si>
  <si>
    <t>Exactly one date-time-stamped Guardrail is created and visible.</t>
  </si>
  <si>
    <t>End to end</t>
  </si>
  <si>
    <t>YES</t>
  </si>
  <si>
    <t>Functional, Regression, End-to-End, Integration</t>
  </si>
  <si>
    <t>@functional @regression @e2e @integration</t>
  </si>
  <si>
    <t>flow, write, guardrails, create, date-time</t>
  </si>
  <si>
    <t>GR-018</t>
  </si>
  <si>
    <t>Guardrail creation verification</t>
  </si>
  <si>
    <t>Verify persisted Guardrail creation values</t>
  </si>
  <si>
    <t>Reopen the created Guardrail and compare its basic and type selections.</t>
  </si>
  <si>
    <t>1. GR-017 created the Guardrail in the same run.</t>
  </si>
  <si>
    <t xml:space="preserve">1. Open the created Guardrail for editing.
2. Verify Name and Description.
3. Verify Contains PII is enabled on Input.
4. Verify URL Filter and Contains PII are enabled on Output.
5. Verify Access Owner and cancel.</t>
  </si>
  <si>
    <t xml:space="preserve">Selected Users Text: Selected Users (0)
Owner Text: Owner</t>
  </si>
  <si>
    <t>The created Guardrail retains its basic values and selected input and output types.</t>
  </si>
  <si>
    <t>flow, guardrails, create, persistence, verification</t>
  </si>
  <si>
    <t>GR-019</t>
  </si>
  <si>
    <t>Find the created Guardrail by exact unique name</t>
  </si>
  <si>
    <t>Verify exact search locates only the current run Guardrail.</t>
  </si>
  <si>
    <t xml:space="preserve">1. Search for the complete unique name.
2. Verify its card is visible.
3. Verify unrelated cards are absent.
4. Clear search.</t>
  </si>
  <si>
    <t>Exact search returns the created Guardrail without unrelated results.</t>
  </si>
  <si>
    <t>Functional, Regression, End-to-End</t>
  </si>
  <si>
    <t>@functional @regression @e2e</t>
  </si>
  <si>
    <t>flow, guardrails, search, created-data</t>
  </si>
  <si>
    <t>GR-020</t>
  </si>
  <si>
    <t>Guardrail edit validation</t>
  </si>
  <si>
    <t>Validate required Guardrail fields while editing</t>
  </si>
  <si>
    <t>Confirm required rules apply in edit mode without saving invalid values.</t>
  </si>
  <si>
    <t xml:space="preserve">1. Open the created Guardrail for editing.
2. Clear Name and try Update.
3. Restore Name, clear Description and try Update.
4. Restore valid values and cancel.</t>
  </si>
  <si>
    <t xml:space="preserve">Invalid Edits: 1) Label=name is empty, Name=, Description={{CREATED_DESCRIPTION}}; 2) Label=description is empty, Name={{GUARDRAIL_NAME}}, Description=
Update Button: Update</t>
  </si>
  <si>
    <t>Edit mode blocks each missing required value and cancellation preserves the Guardrail.</t>
  </si>
  <si>
    <t>flow, negative, guardrails, edit, validation</t>
  </si>
  <si>
    <t>GR-021</t>
  </si>
  <si>
    <t>Guardrail update</t>
  </si>
  <si>
    <t>Rename and update the created Guardrail</t>
  </si>
  <si>
    <t>Perform the recorded edit with timestamped values and expanded protections.</t>
  </si>
  <si>
    <t xml:space="preserve">1. Open the created Guardrail for editing.
2. Replace its Name and Description.
3. Enable Moderation and Jailbreak.
4. Retain output Contains PII and disable URL Filter.
5. Submit Update and search for the updated name.</t>
  </si>
  <si>
    <t xml:space="preserve">Selected Moderation Codes: sexual, hate, violence
Moderation Fallback: {{MODERATION_FALLBACK_MESSAGE}}</t>
  </si>
  <si>
    <t>The Guardrail is renamed and its updated protection choices are saved.</t>
  </si>
  <si>
    <t>flow, write, guardrails, edit, update, date-time</t>
  </si>
  <si>
    <t>GR-022</t>
  </si>
  <si>
    <t>Guardrail update verification</t>
  </si>
  <si>
    <t>Verify every persisted Guardrail update</t>
  </si>
  <si>
    <t>Reopen the renamed Guardrail and compare changed values and type states.</t>
  </si>
  <si>
    <t>1. GR-021 updated the Guardrail in the same run.</t>
  </si>
  <si>
    <t xml:space="preserve">1. Open the updated Guardrail.
2. Verify updated Name and Description.
3. Verify Contains PII, Moderation and Jailbreak are enabled on Input.
4. Verify URL Filter is disabled and output Contains PII remains enabled.
5. Verify Access Owner and cancel.</t>
  </si>
  <si>
    <t>The persisted name state from GR-021 and all non-name Guardrail updates remain intact.</t>
  </si>
  <si>
    <t>flow, guardrails, update, persistence, verification</t>
  </si>
  <si>
    <t>GR-023</t>
  </si>
  <si>
    <t>Guardrail actions</t>
  </si>
  <si>
    <t>Restrict Guardrail card actions to Edit and Delete</t>
  </si>
  <si>
    <t>Verify the recorded action menu on the run-created Guardrail.</t>
  </si>
  <si>
    <t xml:space="preserve">1. Open the Guardrail action menu.
2. Capture every menu item.
3. Verify Edit and Delete.
4. Dismiss without selecting an action.</t>
  </si>
  <si>
    <t>Expected Menu Items: Edit, Delete</t>
  </si>
  <si>
    <t>The Guardrail action menu contains exactly Edit and Delete.</t>
  </si>
  <si>
    <t>flow, guardrails, actions, allowlist</t>
  </si>
  <si>
    <t>GR-024</t>
  </si>
  <si>
    <t>Guardrail input security</t>
  </si>
  <si>
    <t>Escape XSS payloads in Guardrail text fields</t>
  </si>
  <si>
    <t>Confirm unsaved Name, Description, custom entity and fallback values remain text.</t>
  </si>
  <si>
    <t xml:space="preserve">1. Set a harmless execution marker.
2. Enter XSS-shaped basics and PII settings.
3. Verify no script execution.
4. Cancel and verify no persistence.</t>
  </si>
  <si>
    <t>Xss Payload: {{XSS_MARKER}}</t>
  </si>
  <si>
    <t>Guardrail text fields do not execute or persist the XSS payload.</t>
  </si>
  <si>
    <t>Security</t>
  </si>
  <si>
    <t>Functional, Non-Functional, Regression, Security</t>
  </si>
  <si>
    <t>@functional @non-functional @regression @security</t>
  </si>
  <si>
    <t>flow, security, guardrails, xss, input-encoding</t>
  </si>
  <si>
    <t>GR-025</t>
  </si>
  <si>
    <t>Guardrail search security</t>
  </si>
  <si>
    <t>Handle injection-shaped Guardrail searches safely</t>
  </si>
  <si>
    <t>Verify SQL, NoSQL and XSS-like searches are treated literally.</t>
  </si>
  <si>
    <t xml:space="preserve">1. Capture the initial Guardrail names.
2. Search with SQL, NoSQL and XSS-like strings.
3. Verify no execution or result expansion.
4. Clear search and verify restoration.</t>
  </si>
  <si>
    <t>Search Payloads: {{SQL_INJECTION_MARKER}}, {"$ne":null}, {{XSS_MARKER}}</t>
  </si>
  <si>
    <t>Injection-shaped search input remains literal and does not execute or expand results.</t>
  </si>
  <si>
    <t>flow, security, guardrails, search, injection, xss</t>
  </si>
  <si>
    <t>GR-026</t>
  </si>
  <si>
    <t>Guardrail data protection</t>
  </si>
  <si>
    <t>Keep synthetic secrets out of URLs and closed DOM</t>
  </si>
  <si>
    <t>Verify cancelled Guardrail data is removed from the visible application.</t>
  </si>
  <si>
    <t xml:space="preserve">1. Enter a synthetic secret in an unsaved draft.
2. Verify the URL excludes it.
3. Cancel the wizard.
4. Verify the URL and remaining DOM exclude it.</t>
  </si>
  <si>
    <t>Secret Value: {{SYNTHETIC_SECRET_PREFIX}}-{{RUN_COMPACT}}</t>
  </si>
  <si>
    <t>Synthetic draft secrets remain out of URLs and disappear after cancellation.</t>
  </si>
  <si>
    <t>flow, security, guardrails, data-protection, cancel</t>
  </si>
  <si>
    <t>GR-027</t>
  </si>
  <si>
    <t>Guardrail access security</t>
  </si>
  <si>
    <t>Prevent access-search injection from selecting users</t>
  </si>
  <si>
    <t>Verify injected employee search cannot grant Guardrail access.</t>
  </si>
  <si>
    <t xml:space="preserve">1. Open Access on a valid draft.
2. Enter injection-shaped employee search.
3. Verify Selected Users remains zero.
4. Verify Owner remains visible and cancel.</t>
  </si>
  <si>
    <t xml:space="preserve">Access Search Payload: {{SQL_INJECTION_MARKER}}
Selected Users Text: Selected Users (0)
Owner Text: Owner</t>
  </si>
  <si>
    <t>Injection-shaped access search grants no additional Guardrail permission.</t>
  </si>
  <si>
    <t>flow, security, guardrails, access, authorization</t>
  </si>
  <si>
    <t>GR-028</t>
  </si>
  <si>
    <t>Guardrail transport security</t>
  </si>
  <si>
    <t>Return baseline browser security headers for Guardrails</t>
  </si>
  <si>
    <t>Verify HTTPS and baseline browser security headers.</t>
  </si>
  <si>
    <t xml:space="preserve">1. Open the Guardrails HTTPS route.
2. Capture response headers.
3. Verify transport, anti-sniffing and browser-policy headers.
4. Verify frame protection.</t>
  </si>
  <si>
    <t xml:space="preserve">Required Headers: strict-transport-security, content-security-policy
Content Type Options: nosniff</t>
  </si>
  <si>
    <t>The Guardrails document uses HTTPS and returns baseline security headers.</t>
  </si>
  <si>
    <t>flow, security, guardrails, headers, https, clickjacking</t>
  </si>
  <si>
    <t>GR-029</t>
  </si>
  <si>
    <t>Guardrail authentication security</t>
  </si>
  <si>
    <t>Block anonymous access to Guardrail controls</t>
  </si>
  <si>
    <t>Open Guardrails in a clean browser context.</t>
  </si>
  <si>
    <t xml:space="preserve">1. Create a context with no saved session.
2. Open Guardrails.
3. Verify search and create controls are unavailable.
4. Close the context.</t>
  </si>
  <si>
    <t xml:space="preserve">Guardrails Path: /guardrails
Search Placeholder: Search guardrails...
Create Button: Create Guardrail</t>
  </si>
  <si>
    <t>An anonymous browser cannot access authenticated Guardrail controls.</t>
  </si>
  <si>
    <t>flow, security, guardrails, authentication, anonymous</t>
  </si>
  <si>
    <t>GR-030</t>
  </si>
  <si>
    <t>Guardrail deletion protection</t>
  </si>
  <si>
    <t>Cancel deletion and preserve the updated Guardrail</t>
  </si>
  <si>
    <t>Open Delete confirmation, cancel it and preserve the Guardrail.</t>
  </si>
  <si>
    <t xml:space="preserve">1. Choose Delete from the updated Guardrail action menu.
2. Verify the confirmation names the exact Guardrail.
3. Cancel the confirmation.
4. Search for the updated Guardrail.</t>
  </si>
  <si>
    <t xml:space="preserve">Cancel Button: Cancel
Delete Button: Delete</t>
  </si>
  <si>
    <t>Cancelling deletion preserves the updated Guardrail.</t>
  </si>
  <si>
    <t>flow, guardrails, delete, cancel, persistence</t>
  </si>
  <si>
    <t>Test Data / Viewport</t>
  </si>
  <si>
    <t>UX Category</t>
  </si>
  <si>
    <t>Review Method</t>
  </si>
  <si>
    <t>Recommended Environment</t>
  </si>
  <si>
    <t>Status</t>
  </si>
  <si>
    <t>Actual Result</t>
  </si>
  <si>
    <t>Executed By</t>
  </si>
  <si>
    <t>Executed On</t>
  </si>
  <si>
    <t>Defect ID</t>
  </si>
  <si>
    <t>Remarks</t>
  </si>
  <si>
    <t>GR-UX-001</t>
  </si>
  <si>
    <t>Guardrails landing page</t>
  </si>
  <si>
    <t>Verify landing-page visual hierarchy and alignment</t>
  </si>
  <si>
    <t>Ensure the page purpose, discovery controls, layout controls, and primary action are immediately understandable.</t>
  </si>
  <si>
    <t xml:space="preserve">1. The tester is authenticated in a business that contains at least three Guardrails.
2. Browser zoom is set to 100%.</t>
  </si>
  <si>
    <t xml:space="preserve">1. Open the Guardrails page at a 1440 x 900 viewport.
2. Inspect the Guardrails heading, Search guardrails field, view controls, refresh control, and Create Guardrail button.
3. Scroll through the full Guardrail content area and compare spacing and alignment.</t>
  </si>
  <si>
    <t>Viewport: 1440 x 900; zoom: 100%; business with at least three Guardrails</t>
  </si>
  <si>
    <t>The heading is visually first, Create Guardrail is the clear primary action, related controls are grouped and aligned, spacing is consistent, and no text or control overlaps, clips, or shifts while scrolling.</t>
  </si>
  <si>
    <t>Visual consistency</t>
  </si>
  <si>
    <t>Manual visual review in Chrome at 1440 x 900 and 100% zoom</t>
  </si>
  <si>
    <t>Minor</t>
  </si>
  <si>
    <t>DEV / UAT / LIVE</t>
  </si>
  <si>
    <t>Non-Functional, Regression, Responsive</t>
  </si>
  <si>
    <t>@non-functional @regression @responsive @guardrails @manual @visual-consistency</t>
  </si>
  <si>
    <t>Not Run</t>
  </si>
  <si>
    <t>GR-UX-002</t>
  </si>
  <si>
    <t>Guardrail layouts</t>
  </si>
  <si>
    <t>Verify visual parity between grid and list layouts</t>
  </si>
  <si>
    <t>Confirm both layouts present the same essential Guardrail information with an appropriate visual hierarchy.</t>
  </si>
  <si>
    <t>1. The business contains Guardrails with varied name and description lengths.</t>
  </si>
  <si>
    <t xml:space="preserve">1. Review all visible Guardrails in grid layout.
2. Switch to list layout and review the same records.
3. Compare names, supporting details, action placement, spacing, and scan order.
4. Switch back to grid layout and observe the transition.</t>
  </si>
  <si>
    <t>At least three Guardrails with short, medium, and long visible content</t>
  </si>
  <si>
    <t>Both layouts expose the same essential information and actions, preserve a clear reading order, use consistent terminology and styling, and switch without content flash, overlap, or unexpected page movement.</t>
  </si>
  <si>
    <t>Side-by-side manual comparison of grid and list layouts</t>
  </si>
  <si>
    <t>P2</t>
  </si>
  <si>
    <t>Non-Functional, Regression</t>
  </si>
  <si>
    <t>@non-functional @regression @guardrails @manual @visual-consistency</t>
  </si>
  <si>
    <t>GR-UX-003</t>
  </si>
  <si>
    <t>Guardrail cards and rows</t>
  </si>
  <si>
    <t>Handle long names and descriptions without breaking layout</t>
  </si>
  <si>
    <t>Verify unusually long Guardrail content remains understandable without obscuring actions or nearby records.</t>
  </si>
  <si>
    <t>1. A seeded UI-review Guardrail with a long name and long description is available.</t>
  </si>
  <si>
    <t xml:space="preserve">1. Locate the long-content Guardrail in grid layout.
2. Inspect the same Guardrail in list layout.
3. Repeat at desktop and mobile widths.
4. Hover and keyboard-focus truncated content and inspect its accessible name.</t>
  </si>
  <si>
    <t>Guardrail name of at least 90 characters; multi-line description; viewports 1440 x 900 and 390 x 844</t>
  </si>
  <si>
    <t>Long text wraps or truncates consistently, never covers another control, exposes its full meaning through visible or accessible text, and leaves the Edit/Delete action trigger usable in both layouts.</t>
  </si>
  <si>
    <t>Content resilience</t>
  </si>
  <si>
    <t>Responsive visual review plus Chrome accessibility-tree inspection</t>
  </si>
  <si>
    <t>DEV / UAT</t>
  </si>
  <si>
    <t>Non-Functional, Regression, Accessibility, Responsive</t>
  </si>
  <si>
    <t>@non-functional @regression @a11y @responsive @content-resilience @guardrails @manual</t>
  </si>
  <si>
    <t>GR-UX-004</t>
  </si>
  <si>
    <t>Layout and refresh controls</t>
  </si>
  <si>
    <t>Verify icon meaning, selected state, and focus visibility</t>
  </si>
  <si>
    <t>Ensure users can distinguish grid, list, and refresh controls without guessing from appearance alone.</t>
  </si>
  <si>
    <t>1. The Guardrails page is loaded.</t>
  </si>
  <si>
    <t xml:space="preserve">1. Inspect each layout and refresh control without hovering.
2. Hover and keyboard-focus every control.
3. Activate each layout control and inspect its selected state.
4. Read each control with a screen reader or inspect its accessible name.</t>
  </si>
  <si>
    <t>Grid control, list control, and refresh control</t>
  </si>
  <si>
    <t>Every icon has a meaningful accessible name or visible tooltip, exactly one layout is shown as selected using more than color alone, focus indicators remain visible, and refresh is not visually confused with layout selection.</t>
  </si>
  <si>
    <t>Usability and accessibility</t>
  </si>
  <si>
    <t>Pointer, keyboard, tooltip, and accessibility-name review</t>
  </si>
  <si>
    <t>Non-Functional, Regression, Accessibility</t>
  </si>
  <si>
    <t>@non-functional @regression @a11y @guardrails @manual @usability-and-accessibility</t>
  </si>
  <si>
    <t>GR-UX-005</t>
  </si>
  <si>
    <t>Guardrail search</t>
  </si>
  <si>
    <t>Verify search-field affordance and visual feedback</t>
  </si>
  <si>
    <t>Ensure users can identify, edit, and clear Guardrail search without layout confusion.</t>
  </si>
  <si>
    <t>1. The Guardrails page is loaded with visible records.</t>
  </si>
  <si>
    <t xml:space="preserve">1. Focus the Search guardrails field using the keyboard.
2. Enter a short search phrase and observe the result transition.
3. Edit the search phrase.
4. Clear the search using the visible reset affordance or standard field interaction.</t>
  </si>
  <si>
    <t>Search phrase: qa guardrail visual review</t>
  </si>
  <si>
    <t>The field has a persistent accessible name, focus is obvious, clearing is discoverable, the field remains editable during result transitions, and unrelated controls do not jump or resize.</t>
  </si>
  <si>
    <t>Usability</t>
  </si>
  <si>
    <t>Keyboard and pointer usability review</t>
  </si>
  <si>
    <t>@non-functional @regression @a11y @guardrails @manual @usability</t>
  </si>
  <si>
    <t>GR-UX-006</t>
  </si>
  <si>
    <t>Theme and color</t>
  </si>
  <si>
    <t>Verify light, dark, and forced-color presentation</t>
  </si>
  <si>
    <t>Ensure Guardrail content and interaction states remain perceivable in every supported visual mode.</t>
  </si>
  <si>
    <t xml:space="preserve">1. The application theme control is available.
2. Windows forced-colors or High Contrast mode can be enabled.</t>
  </si>
  <si>
    <t xml:space="preserve">1. Review the Guardrails page, wizard, and one settings dialog in light mode.
2. Repeat in dark mode.
3. Enable forced-colors or High Contrast mode and inspect text, borders, focus, selected, enabled, error, and destructive states.
4. Measure representative foreground and background pairs.</t>
  </si>
  <si>
    <t>Light theme, dark theme, Windows forced colors; normal, selected, validation, and destructive states</t>
  </si>
  <si>
    <t>Normal text meets 4.5:1 contrast, large text and graphical controls meet 3:1, focus remains visible, switch and error meaning does not rely on color alone, and no interactive control disappears in forced colors.</t>
  </si>
  <si>
    <t>Accessibility</t>
  </si>
  <si>
    <t>Contrast analyzer plus manual review in light, dark, and forced-colors modes</t>
  </si>
  <si>
    <t>@non-functional @regression @a11y @accessibility @guardrails @manual</t>
  </si>
  <si>
    <t>GR-UX-007</t>
  </si>
  <si>
    <t>Guardrails list loading</t>
  </si>
  <si>
    <t>Verify the initial loading-state presentation</t>
  </si>
  <si>
    <t>Ensure slow loading appears intentional and cannot be mistaken for an empty or broken page.</t>
  </si>
  <si>
    <t xml:space="preserve">1. Network throttling is available.
2. The selected business contains Guardrails.</t>
  </si>
  <si>
    <t xml:space="preserve">1. Enable Slow 3G throttling.
2. Reload the Guardrails page.
3. Observe the main area until cards or rows appear.
4. Listen for loading announcements or inspect the live region.</t>
  </si>
  <si>
    <t>Chrome Slow 3G profile; populated business</t>
  </si>
  <si>
    <t>A skeleton, spinner, or equivalent status appears promptly, stable page controls do not shift, placeholders cannot be mistaken for real Guardrails, and assistive technology receives one concise loading status.</t>
  </si>
  <si>
    <t>State handling</t>
  </si>
  <si>
    <t>Chrome network throttling with visual and accessibility review</t>
  </si>
  <si>
    <t>@non-functional @regression @a11y @guardrails @manual @state-handling</t>
  </si>
  <si>
    <t>GR-UX-008</t>
  </si>
  <si>
    <t>Guardrails empty state</t>
  </si>
  <si>
    <t>Verify the first-use state when no Guardrails exist</t>
  </si>
  <si>
    <t>Make the next useful action obvious in an empty business.</t>
  </si>
  <si>
    <t>1. An approved QA business with no Guardrails or an empty-state fixture is available.</t>
  </si>
  <si>
    <t xml:space="preserve">1. Open Guardrails in the empty business.
2. Inspect the heading, explanation, illustration if present, and available actions.
3. Repeat at a mobile viewport.</t>
  </si>
  <si>
    <t>Empty QA business; viewports 1440 x 900 and 390 x 844</t>
  </si>
  <si>
    <t>A purposeful empty-state heading and explanation appear, Create Guardrail is offered once as the primary next action, and no blank panel, misleading count, broken illustration, or irrelevant view control is presented.</t>
  </si>
  <si>
    <t>Empty-state UX</t>
  </si>
  <si>
    <t>Manual first-use review at desktop and mobile widths</t>
  </si>
  <si>
    <t>@non-functional @regression @responsive @empty-state-ux @guardrails @manual</t>
  </si>
  <si>
    <t>GR-UX-009</t>
  </si>
  <si>
    <t>Guardrail search empty state</t>
  </si>
  <si>
    <t>Verify no-match guidance and recovery</t>
  </si>
  <si>
    <t>Help users understand and recover when a search has no visible matches.</t>
  </si>
  <si>
    <t>1. The selected business contains at least one Guardrail.</t>
  </si>
  <si>
    <t xml:space="preserve">1. Enter a unique value that matches no Guardrail.
2. Inspect the no-results message and recovery actions in grid layout.
3. Switch to list layout while the query remains active.
4. Clear the query using the offered recovery control.</t>
  </si>
  <si>
    <t>Unmatched query: qa-guardrail-no-match-ux-918273</t>
  </si>
  <si>
    <t>The page states that no matching Guardrails were found, safely identifies the query when repeated, provides an obvious clear/reset action, and presents the same recovery guidance in both layouts.</t>
  </si>
  <si>
    <t>Manual content-design and recovery review in grid and list layouts</t>
  </si>
  <si>
    <t>@non-functional @regression @empty-state-ux @guardrails @manual</t>
  </si>
  <si>
    <t>GR-UX-010</t>
  </si>
  <si>
    <t>Guardrails error and refresh states</t>
  </si>
  <si>
    <t>Verify list-load failure, refresh progress, and recovery</t>
  </si>
  <si>
    <t>Confirm a recoverable list failure never produces a blank page or silent refresh.</t>
  </si>
  <si>
    <t>1. The Guardrails-list request can be safely blocked in a non-production environment.</t>
  </si>
  <si>
    <t xml:space="preserve">1. Block the Guardrails-list request and reload the page.
2. Inspect the failure message and recovery action.
3. Remove request blocking and activate Retry or Refresh with the keyboard.
4. Observe refresh progress and completion.</t>
  </si>
  <si>
    <t>Browser request blocking for the Guardrails-list request</t>
  </si>
  <si>
    <t>A plain-language error appears in context, no raw response is exposed, recovery is keyboard accessible, refresh provides visible and announced progress without duplicating records, and restored content replaces the error cleanly.</t>
  </si>
  <si>
    <t>Error-state UX</t>
  </si>
  <si>
    <t>Request blocking followed by keyboard and visual recovery review</t>
  </si>
  <si>
    <t>@non-functional @regression @a11y @error-state-ux @guardrails @manual</t>
  </si>
  <si>
    <t>GR-UX-011</t>
  </si>
  <si>
    <t>Guardrail wizard shell</t>
  </si>
  <si>
    <t>Verify wizard hierarchy and progress clarity</t>
  </si>
  <si>
    <t>Ensure users understand their current position within Input, Output, and Access configuration.</t>
  </si>
  <si>
    <t>1. The tester can open Create Guardrail.</t>
  </si>
  <si>
    <t xml:space="preserve">1. Open Create Guardrail.
2. Review the wizard heading and Input, Output, and Access tabs.
3. Visit each tab and compare its active, available, and completed presentation.
4. Review Create Guardrail and Update variants when both are available.</t>
  </si>
  <si>
    <t>Wizard tabs: Input, Output, Access; create and edit modes</t>
  </si>
  <si>
    <t>The dialog purpose is clear, the panel content agrees with the active tab, current and completed states are distinguishable without color alone, step order is understandable, and create/edit mode is never ambiguous.</t>
  </si>
  <si>
    <t>Wizard usability</t>
  </si>
  <si>
    <t>Manual visual and content-hierarchy review</t>
  </si>
  <si>
    <t>@non-functional @regression @guardrails @manual @wizard-usability</t>
  </si>
  <si>
    <t>GR-UX-012</t>
  </si>
  <si>
    <t>Guardrail wizard layout</t>
  </si>
  <si>
    <t>Verify scrolling and action-bar accessibility</t>
  </si>
  <si>
    <t>Ensure dense configuration panels do not hide navigation actions or introduce confusing nested scrolling.</t>
  </si>
  <si>
    <t>1. The Create Guardrail wizard is open.</t>
  </si>
  <si>
    <t xml:space="preserve">1. Set the viewport to 1366 x 600 and inspect Input, Output, and Access.
2. Open a settings dialog from Input and scroll its content from beginning to end.
3. Repeat the wizard and settings-dialog review at 390 x 844.
4. Check access to Back, Next, Cancel, Close, Save, and Create Guardrail as applicable.</t>
  </si>
  <si>
    <t>Viewports: 1366 x 600 and 390 x 844</t>
  </si>
  <si>
    <t>Each surface uses a predictable scroll region, headings and tabs do not overlap content, fields are not hidden behind action areas, and every applicable navigation, save, and close action remains reachable.</t>
  </si>
  <si>
    <t>Responsive usability</t>
  </si>
  <si>
    <t>Short-height and mobile-width scrolling review</t>
  </si>
  <si>
    <t>@non-functional @regression @a11y @responsive @guardrails @manual @responsive-usability</t>
  </si>
  <si>
    <t>GR-UX-013</t>
  </si>
  <si>
    <t>Guardrail basic fields</t>
  </si>
  <si>
    <t>Verify labels, required indicators, and helper text</t>
  </si>
  <si>
    <t>Make Name and Description understandable without relying on placeholder text.</t>
  </si>
  <si>
    <t>1. The Input tab of Create Guardrail is open.</t>
  </si>
  <si>
    <t xml:space="preserve">1. Inspect Name and Description before entering data.
2. Enter representative content in both fields.
3. Inspect required indicators, helper text, and any length guidance.
4. Check both controls in the browser accessibility tree.</t>
  </si>
  <si>
    <t>Name: QA Guardrail UX Review; description: Manual UI and accessibility review draft</t>
  </si>
  <si>
    <t>Both controls have persistent visible labels and accessible names, required fields are identified consistently, the required convention is explained once, guidance is available before failure, and context remains after placeholders disappear.</t>
  </si>
  <si>
    <t>Form usability</t>
  </si>
  <si>
    <t>Visual review plus Chrome accessibility-tree inspection</t>
  </si>
  <si>
    <t>@non-functional @regression @a11y @form-usability @guardrails @manual</t>
  </si>
  <si>
    <t>GR-UX-014</t>
  </si>
  <si>
    <t>Guardrail validation</t>
  </si>
  <si>
    <t>Verify inline validation presentation and recovery</t>
  </si>
  <si>
    <t>Review error clarity, focus, and announcements without repeating functional required-field enforcement.</t>
  </si>
  <si>
    <t xml:space="preserve">1. Create Guardrail is open on Input.
2. A screen reader is available for announcement review.</t>
  </si>
  <si>
    <t xml:space="preserve">1. Trigger Name and Description validation messages in one attempt.
2. Inspect message wording, location, and field styling.
3. Correct one field and leave the other invalid.
4. Correct the remaining field and continue.</t>
  </si>
  <si>
    <t>Missing Name and Description followed by valid non-sensitive values</t>
  </si>
  <si>
    <t>Each message identifies its field and remedy, appears adjacent to and is programmatically associated with the field, focus moves to the first invalid control, errors are announced, and each message clears when corrected.</t>
  </si>
  <si>
    <t>Validation UX</t>
  </si>
  <si>
    <t>Keyboard review with NVDA and browser accessibility inspection</t>
  </si>
  <si>
    <t>@non-functional @regression @a11y @guardrails @manual @validation-ux</t>
  </si>
  <si>
    <t>GR-UX-015</t>
  </si>
  <si>
    <t>Guardrail protection switches</t>
  </si>
  <si>
    <t>Verify switch labels, status, and settings affordance</t>
  </si>
  <si>
    <t>Ensure Contains PII, Moderation, Jailbreak, and output protections communicate their meaning and current state.</t>
  </si>
  <si>
    <t>1. Create Guardrail is open and Input and Output tabs are available.</t>
  </si>
  <si>
    <t xml:space="preserve">1. Inspect every Input and Output protection in its off state.
2. Keyboard-focus each switch and listen to its accessible name and state.
3. Enable protections that open settings and compare them with the direct Jailbreak switch.
4. Inspect the enabled state after closing or saving settings.</t>
  </si>
  <si>
    <t>Input: Contains PII, Moderation, Jailbreak; Output: URL Filter, Contains PII</t>
  </si>
  <si>
    <t>Every switch has a unique descriptive label, exposes on/off state programmatically, has a visible focus indicator, explains or signals when configuration is required, and communicates enabled state without relying on color alone.</t>
  </si>
  <si>
    <t>Keyboard, visual-state, and accessibility-tree review</t>
  </si>
  <si>
    <t>GR-UX-016</t>
  </si>
  <si>
    <t>Nested settings dialogs</t>
  </si>
  <si>
    <t>Verify dialog hierarchy, focus containment, and return focus</t>
  </si>
  <si>
    <t>Ensure settings dialogs remain understandable when opened over the Guardrail wizard.</t>
  </si>
  <si>
    <t xml:space="preserve">1. Open Contains PII Settings from Input.
2. Identify initial focus and tab forward and backward through all visible controls.
3. Attempt to focus the wizard or page behind the settings dialog.
4. Close the settings dialog and inspect restored focus.
5. Repeat with Moderation Settings and URL Filter Settings.</t>
  </si>
  <si>
    <t>Contains PII Settings, Moderation Settings, URL Filter Settings</t>
  </si>
  <si>
    <t>Only the topmost dialog is interactive, each dialog has a clear accessible title, focus remains contained, Escape and Close follow the documented unsaved-change policy, and closing returns focus to the switch that opened the dialog.</t>
  </si>
  <si>
    <t>Keyboard-only nested-modal focus review</t>
  </si>
  <si>
    <t>GR-UX-017</t>
  </si>
  <si>
    <t>Contains PII settings</t>
  </si>
  <si>
    <t>Verify identity choices are organized and understandable</t>
  </si>
  <si>
    <t>Ensure users can scan the eight identity choices and understand what each protection covers.</t>
  </si>
  <si>
    <t>1. Contains PII Settings is open from Input.</t>
  </si>
  <si>
    <t xml:space="preserve">1. Read Aadhaar Number, PAN Card, Voter ID, Driving License, Passport Number, IFSC Code, UPI ID, and Ration Card in visual order.
2. Inspect checkbox alignment, spacing, capitalization, and supporting descriptions or help.
3. Navigate the choices with the keyboard.
4. Repeat at a narrow viewport.</t>
  </si>
  <si>
    <t>Eight recorded identity choices; viewports 1366 x 768 and 390 x 844</t>
  </si>
  <si>
    <t>All choices use consistent terminology and alignment, long labels remain readable, each checkbox is associated with its label, domain-specific terms have sufficient help, and keyboard order follows visual order.</t>
  </si>
  <si>
    <t>Content design and accessibility</t>
  </si>
  <si>
    <t>Visual, keyboard, and terminology review</t>
  </si>
  <si>
    <t>@non-functional @regression @a11y @content-design-and-accessibility @guardrails @manual</t>
  </si>
  <si>
    <t>GR-UX-018</t>
  </si>
  <si>
    <t>Bulk policy selection</t>
  </si>
  <si>
    <t>Verify Select all and Clear feedback for long choice sets</t>
  </si>
  <si>
    <t>Make bulk-selection consequences and partial-selection states obvious before settings are saved.</t>
  </si>
  <si>
    <t>1. Contains PII Settings and Moderation Settings can be opened.</t>
  </si>
  <si>
    <t xml:space="preserve">1. Open Contains PII Settings and select a subset of identities.
2. Inspect the bulk control in the partial-selection state.
3. Use Select all and then Clear or the equivalent second action.
4. Repeat with the thirteen Moderation choices.</t>
  </si>
  <si>
    <t>PII subset: PAN Card and UPI ID; Moderation subset: hate, violence, self-harm</t>
  </si>
  <si>
    <t>The bulk action uses unambiguous wording, partial selection is communicated programmatically and visually where supported, selected totals are understandable, and Select all/Clear updates do not cause layout jumps or conceal the Save action.</t>
  </si>
  <si>
    <t>Manual partial, all, and clear state comparison in both dialogs</t>
  </si>
  <si>
    <t>@non-functional @regression @guardrails @manual @usability</t>
  </si>
  <si>
    <t>GR-UX-019</t>
  </si>
  <si>
    <t>Custom PII entities</t>
  </si>
  <si>
    <t>Verify custom-entity entry, chip presentation, and removal</t>
  </si>
  <si>
    <t>Ensure users can distinguish custom entities from predefined identity choices and correct mistakes before saving.</t>
  </si>
  <si>
    <t xml:space="preserve">1. Contains PII Settings is open.
2. The settings will be closed without creating a Guardrail.</t>
  </si>
  <si>
    <t xml:space="preserve">1. Inspect the custom-entity field and Add action before typing.
2. Add two safe custom entities with different lengths.
3. Inspect their visual representation and accessible names.
4. Remove one entity using pointer and the other using keyboard.</t>
  </si>
  <si>
    <t>Custom entities: qa_customer_reference and qa_long_business_identifier_for_review</t>
  </si>
  <si>
    <t>The field explains the expected entity format, Add is clearly associated with it, added entities are visually distinct and readable, removal has a meaningful label, and long entities wrap or truncate without covering controls.</t>
  </si>
  <si>
    <t>Pointer, keyboard, and responsive chip/tag review</t>
  </si>
  <si>
    <t>@non-functional @regression @a11y @responsive @form-usability @guardrails @manual</t>
  </si>
  <si>
    <t>GR-UX-020</t>
  </si>
  <si>
    <t>Fallback messages</t>
  </si>
  <si>
    <t>Verify fallback-message guidance and writing experience</t>
  </si>
  <si>
    <t>Help administrators write a useful end-user response when a Guardrail blocks content.</t>
  </si>
  <si>
    <t>1. A settings dialog containing Fallback Message is open.</t>
  </si>
  <si>
    <t xml:space="preserve">1. Inspect the Fallback Message label, helper text, required indication, and any length guidance.
2. Enter a multi-line user-facing message.
3. Review wrapping, counter behavior, and error placement near the limit if a limit exists.
4. Repeat in a second settings dialog and compare terminology.</t>
  </si>
  <si>
    <t>Message: This request was blocked because it may contain protected information. Remove sensitive details and try again.</t>
  </si>
  <si>
    <t>The purpose and audience of the fallback are clear, required and length rules appear before submission, multi-line text remains readable, counters and errors do not obscure content, and equivalent dialogs use consistent terminology.</t>
  </si>
  <si>
    <t>Content design</t>
  </si>
  <si>
    <t>Manual form-writing and cross-dialog consistency review</t>
  </si>
  <si>
    <t>@non-functional @regression @content-design @guardrails @manual</t>
  </si>
  <si>
    <t>GR-UX-021</t>
  </si>
  <si>
    <t>Moderation settings</t>
  </si>
  <si>
    <t>Verify moderation categories are readable and distinguishable</t>
  </si>
  <si>
    <t>Ensure administrators can understand and safely select thirteen closely related moderation categories.</t>
  </si>
  <si>
    <t>1. Moderation Settings is open.</t>
  </si>
  <si>
    <t xml:space="preserve">1. Review all category labels in visual and keyboard order.
2. Compare related pairs such as hate and hate/threatening, violence and violence/graphic, and self-harm variants.
3. Inspect any help text, tooltip, or description available for unfamiliar codes.
4. Review the complete list at mobile width and 200% zoom.</t>
  </si>
  <si>
    <t>All thirteen recorded moderation categories; viewport 390 x 844; zoom 200%</t>
  </si>
  <si>
    <t>Related categories are visually grouped or otherwise easy to compare, codes remain fully readable, differences are explained without requiring prior API knowledge, checkboxes align consistently, and no category is clipped at narrow width or zoom.</t>
  </si>
  <si>
    <t>Information architecture</t>
  </si>
  <si>
    <t>Terminology, visual grouping, keyboard order, and zoom review</t>
  </si>
  <si>
    <t>@non-functional @regression @a11y @responsive @guardrails @information-architecture @manual</t>
  </si>
  <si>
    <t>GR-UX-022</t>
  </si>
  <si>
    <t>URL Filter settings</t>
  </si>
  <si>
    <t>Verify allow-list entry and fallback guidance</t>
  </si>
  <si>
    <t>Ensure users understand the accepted URL format, current entries, and blocking consequence.</t>
  </si>
  <si>
    <t xml:space="preserve">1. URL Filter Settings is open from Output.
2. No Guardrail will be saved during this review.</t>
  </si>
  <si>
    <t xml:space="preserve">1. Inspect URL-entry labels, examples, helper text, and the Add action.
2. Enter two safe HTTPS URLs with different path lengths.
3. Inspect the added-entry presentation and removal affordances.
4. Enter a fallback message and review the dialog at mobile width.</t>
  </si>
  <si>
    <t>https://example.com/guardrails/allowed and https://subdomain.example.com/a/long/review/path</t>
  </si>
  <si>
    <t>The dialog clearly explains allow-list behavior and accepted format, URLs remain identifiable without covering actions, each entry has a meaningful removal control, the fallback purpose is clear, and long values reflow safely.</t>
  </si>
  <si>
    <t>Manual information-entry and responsive visual review; no save</t>
  </si>
  <si>
    <t>@non-functional @regression @responsive @form-usability @guardrails @manual</t>
  </si>
  <si>
    <t>GR-UX-023</t>
  </si>
  <si>
    <t>Input and output policy context</t>
  </si>
  <si>
    <t>Distinguish Input Contains PII from Output Contains PII</t>
  </si>
  <si>
    <t>Prevent administrators from configuring the correct protection in the wrong processing direction.</t>
  </si>
  <si>
    <t>1. Create Guardrail is open and both Input and Output tabs are accessible.</t>
  </si>
  <si>
    <t xml:space="preserve">1. Review Contains PII on Input and note its surrounding heading and help text.
2. Review Contains PII on Output and compare its surrounding context.
3. Open each Contains PII Settings dialog and compare titles, descriptions, and breadcrumbs or context labels.
4. Ask a reviewer unfamiliar with the product to explain the difference using only visible copy.</t>
  </si>
  <si>
    <t>Input Contains PII and Output Contains PII</t>
  </si>
  <si>
    <t>Input and Output direction is stated near the protection and inside each settings dialog, the two configurations cannot be visually confused, and an unfamiliar reviewer can accurately explain when each policy runs.</t>
  </si>
  <si>
    <t>Content design and usability</t>
  </si>
  <si>
    <t>Comparative content review plus first-time-user comprehension check</t>
  </si>
  <si>
    <t>@non-functional @regression @content-design-and-usability @guardrails @manual</t>
  </si>
  <si>
    <t>GR-UX-024</t>
  </si>
  <si>
    <t>Settings save and close</t>
  </si>
  <si>
    <t>Verify Save, Close, and unsaved-change behavior in settings dialogs</t>
  </si>
  <si>
    <t>Prevent ambiguous loss or accidental application of dense policy settings.</t>
  </si>
  <si>
    <t xml:space="preserve">1. A Guardrail settings dialog is open.
2. The parent wizard will be cancelled after review.</t>
  </si>
  <si>
    <t xml:space="preserve">1. Change several settings and inspect Save and Close placement and visual priority.
2. Choose Close and observe whether unsaved changes are retained, discarded, or confirmed.
3. Reopen the dialog, make changes, and use Escape or the title-bar close control if available.
4. Reopen, save a harmless draft configuration, and inspect return focus and enabled-state feedback.</t>
  </si>
  <si>
    <t>Safe draft settings only; do not submit the parent Guardrail</t>
  </si>
  <si>
    <t>Save is the clear primary action, Close is not confused with Save, changed data is never silently discarded, Escape follows the same documented policy, and closing or saving returns focus to the originating switch with clear state feedback.</t>
  </si>
  <si>
    <t>Manual action-hierarchy and unsaved-change review</t>
  </si>
  <si>
    <t>GR-UX-025</t>
  </si>
  <si>
    <t>Guardrail draft exit</t>
  </si>
  <si>
    <t>Verify wizard-level unsaved-change warning</t>
  </si>
  <si>
    <t>Prevent accidental loss of basic values and configured protection settings.</t>
  </si>
  <si>
    <t>1. Create Guardrail is open with unsaved basic and protection changes.</t>
  </si>
  <si>
    <t xml:space="preserve">1. Change Name and Description and save one nested settings configuration into the draft.
2. Attempt to leave using Cancel, Escape, the dialog close control, and sidebar navigation where supported.
3. Choose Keep editing and verify the draft remains visible.
4. Repeat and choose Discard.
5. Open an unchanged wizard and close it.</t>
  </si>
  <si>
    <t>Draft name: QA Guardrail Unsaved UX Review; safe Contains PII draft configuration</t>
  </si>
  <si>
    <t>Leaving a changed wizard shows one clear warning, Keep editing is the safe/default action and retains all draft values, Discard explains the consequence, and an unchanged wizard can close without an unnecessary warning.</t>
  </si>
  <si>
    <t>Pointer and keyboard exit-path review</t>
  </si>
  <si>
    <t>GR-UX-026</t>
  </si>
  <si>
    <t>Verify ownership and selected-user comprehension</t>
  </si>
  <si>
    <t>Ensure sharing consequences and immutable Owner information are understandable before saving.</t>
  </si>
  <si>
    <t xml:space="preserve">1. A valid unsaved Guardrail draft is on Access.
2. A safe QA employee is available where selection is permitted.
3. The draft will be cancelled without saving.</t>
  </si>
  <si>
    <t xml:space="preserve">1. Inspect Owner, employee search, Selected Users count, and any explanatory copy.
2. Search for and select the safe QA employee.
3. Inspect the selected-person representation and removal affordance.
4. Remove the person and cancel the wizard.</t>
  </si>
  <si>
    <t>One approved QA employee account; no production users</t>
  </si>
  <si>
    <t>Owner is clearly distinguished from optional users, sharing impact is explained, search has a persistent accessible name, selected people and count are visible and removable, and no ambiguous permission state remains.</t>
  </si>
  <si>
    <t>Permission UX</t>
  </si>
  <si>
    <t>Manual content, visual hierarchy, selection-state, and accessibility review</t>
  </si>
  <si>
    <t>Non-Functional, Regression, Security, Accessibility</t>
  </si>
  <si>
    <t>@non-functional @regression @security @a11y @guardrails @manual @permission-ux</t>
  </si>
  <si>
    <t>GR-UX-027</t>
  </si>
  <si>
    <t>Guardrail create and update feedback</t>
  </si>
  <si>
    <t>Verify submission progress and outcome messaging</t>
  </si>
  <si>
    <t>Review feedback around an approved synthetic create or update without retesting persisted policy values.</t>
  </si>
  <si>
    <t xml:space="preserve">1. The tester is in an approved non-production business.
2. A disposable synthetic Guardrail can be created or updated.
3. Request throttling and blocking are available.</t>
  </si>
  <si>
    <t xml:space="preserve">1. Submit a valid synthetic Guardrail while Slow 3G is enabled.
2. Attempt a second activation while the first request is in progress.
3. Observe the success message and resulting focus location.
4. Repeat an update with its request blocked and inspect failure recovery.
5. Leave cleanup to the approved Guardrail test-data process.</t>
  </si>
  <si>
    <t>Synthetic name: QA Guardrail UX Feedback plus current date/time; Slow 3G; one simulated update failure</t>
  </si>
  <si>
    <t>The submit action shows progress and prevents duplicate activation, success identifies the affected Guardrail and next location, failure retains entered values and offers Retry, and every outcome message is readable, announced, and unobscured.</t>
  </si>
  <si>
    <t>Feedback and state handling</t>
  </si>
  <si>
    <t>Approved synthetic DEV/UAT flow with network throttling and request blocking</t>
  </si>
  <si>
    <t>P0</t>
  </si>
  <si>
    <t>Non-Functional, Regression, UAT</t>
  </si>
  <si>
    <t>@non-functional @regression @uat @feedback-and-state-handling @guardrails @manual</t>
  </si>
  <si>
    <t>GR-UX-028</t>
  </si>
  <si>
    <t>Guardrail deletion confirmation</t>
  </si>
  <si>
    <t>Verify destructive-dialog clarity without completing deletion</t>
  </si>
  <si>
    <t>Ensure accidental Guardrail deletion is difficult and its consequence is explicit.</t>
  </si>
  <si>
    <t xml:space="preserve">1. A disposable QA Guardrail exists.
2. The tester will cancel the confirmation and will not delete the Guardrail.</t>
  </si>
  <si>
    <t xml:space="preserve">1. Open the disposable Guardrail's action menu and choose Delete.
2. Inspect the dialog heading, exact Guardrail name, irreversible-action warning, and action order.
3. Check initial keyboard focus and attempt to reach background content.
4. Cancel the confirmation using the visible Cancel action.</t>
  </si>
  <si>
    <t>One disposable QA Guardrail with a unique recognizable name</t>
  </si>
  <si>
    <t>The dialog names the exact Guardrail, states the irreversible consequence, distinguishes Delete with destructive styling, gives safe initial focus to Cancel, prevents background interaction, and restores focus to the originating action after cancellation.</t>
  </si>
  <si>
    <t>Destructive-action UX</t>
  </si>
  <si>
    <t>Visual, keyboard, and screen-reader dialog review; cancel only</t>
  </si>
  <si>
    <t>@non-functional @regression @a11y @destructive-action-ux @guardrails @manual</t>
  </si>
  <si>
    <t>GR-UX-029</t>
  </si>
  <si>
    <t>Guardrails assistive-technology navigation</t>
  </si>
  <si>
    <t>Complete the primary Guardrails flow with keyboard and screen reader</t>
  </si>
  <si>
    <t>Verify page, wizard, switches, and nested dialogs can be understood and operated without a pointer or visual presentation.</t>
  </si>
  <si>
    <t xml:space="preserve">1. NVDA and Chrome are available.
2. The Guardrails page contains at least one record.
3. No destructive action will be confirmed.</t>
  </si>
  <si>
    <t xml:space="preserve">1. Read the page by landmarks and headings and navigate search, view controls, refresh, Create Guardrail, and one record action.
2. Open Create Guardrail and navigate Input, Output, and Access using expected tab keys.
3. Operate representative switches and open one settings dialog.
4. Trigger one validation message and listen for state announcements.
5. Close each layer and inspect focus restoration.</t>
  </si>
  <si>
    <t>NVDA with Chrome; keys Tab, Shift+Tab, Enter, Space, Escape, and Arrow keys</t>
  </si>
  <si>
    <t>Landmarks and headings are meaningful, focus order follows the visual order, controls expose names, roles, values, and states, tabs and switches use expected keyboard patterns, validation is announced once, modal focus is contained, and closing restores focus correctly.</t>
  </si>
  <si>
    <t>Keyboard-only and NVDA end-to-end review with accessibility-tree inspection</t>
  </si>
  <si>
    <t>GR-UX-030</t>
  </si>
  <si>
    <t>Guardrails responsive layout and zoom</t>
  </si>
  <si>
    <t>Verify the Guardrails flow across supported widths and zoom levels</t>
  </si>
  <si>
    <t>Ensure dense policy configuration remains usable without loss of information under reflow and browser zoom.</t>
  </si>
  <si>
    <t xml:space="preserve">1. The Guardrails list and Create Guardrail wizard are available.
2. Browser responsive mode and zoom controls are available.</t>
  </si>
  <si>
    <t xml:space="preserve">1. Review grid, list, and wizard at 1440 x 900, 1024 x 768, 768 x 1024, and 390 x 844 at 100% zoom.
2. Open Contains PII, Moderation, and URL Filter settings at the narrow widths.
3. Repeat the desktop flow at 200% zoom.
4. Review at 400% zoom or an equivalent 320 CSS-pixel content width.</t>
  </si>
  <si>
    <t>Viewports: 1440 x 900, 1024 x 768, 768 x 1024, 390 x 844; zoom: 100%, 200%, 400%</t>
  </si>
  <si>
    <t>Content reflows in logical order, cards, rows, wizard, and settings dialogs fit the available area, text is not clipped, unintended two-dimensional scrolling is absent, menus remain onscreen, and every configuration and action remains reachable.</t>
  </si>
  <si>
    <t>Responsive accessibility</t>
  </si>
  <si>
    <t>Chrome responsive mode at desktop, tablet, mobile, 200% zoom, and 400% zoom</t>
  </si>
  <si>
    <t>@non-functional @regression @a11y @responsive @guardrails @manual @responsive-accessibility</t>
  </si>
  <si>
    <t>GR-UX-031</t>
  </si>
  <si>
    <t>Guardrails UI performance budget</t>
  </si>
  <si>
    <t>Verify measurable page and interaction performance budgets</t>
  </si>
  <si>
    <t>Establish a repeatable UI performance gate for loading, searching, opening the wizard, changing tabs, and opening nested settings.</t>
  </si>
  <si>
    <t xml:space="preserve">1. A stable test business contains at least 50 representative Guardrails.
2. Chrome DevTools Performance and Lighthouse are available on a workstation with no unrelated foreground workload.
3. The browser cache can be cleared and the Fast 4G profile can be applied consistently.</t>
  </si>
  <si>
    <t xml:space="preserve">1. Run ten cold navigations to Guardrails with Fast 4G and 4x CPU slowdown, recording LCP, CLS, and long tasks.
2. During each run, enter a search term, switch layout, open Create Guardrail, move through Input, Output, and Access, and open one settings dialog.
3. Record input-to-next-paint for search and layout interactions and measure visible response time for wizard, tab, and settings-dialog opening.
4. Calculate the 75th percentile for every metric and attach the trace from the slowest passing or first failing run.</t>
  </si>
  <si>
    <t>10 cold runs; Fast 4G; 4x CPU slowdown; 50+ Guardrails; budgets: LCP &lt;= 2.5 s, CLS &lt;= 0.10, INP &lt;= 200 ms, wizard/tab/settings visible response &lt;= 500 ms</t>
  </si>
  <si>
    <t>At the 75th percentile LCP is at most 2.5 seconds, CLS is at most 0.10, INP is at most 200 milliseconds, and the wizard, each tab, and each nested settings dialog become visibly ready within 500 milliseconds; no task blocks the main thread for more than 200 milliseconds without visible progress; every breach includes a saved trace and repeatable measurement.</t>
  </si>
  <si>
    <t>UI performance</t>
  </si>
  <si>
    <t>Chrome Lighthouse and DevTools Performance profiling across ten controlled runs with percentile calculation</t>
  </si>
  <si>
    <t>DEV baseline / UAT release gate</t>
  </si>
  <si>
    <t>Non-Functional, Regression, Performance</t>
  </si>
  <si>
    <t>@non-functional @regression @performance @guardrails @manual @ui-performance</t>
  </si>
  <si>
    <t>GR-UX-032</t>
  </si>
  <si>
    <t>Guardrails visual regression baseline</t>
  </si>
  <si>
    <t>Review deterministic screenshots against the approved baseline</t>
  </si>
  <si>
    <t>Detect unintended changes to Guardrail layout, typography, colors, spacing, states, dialogs, and responsive presentation before release.</t>
  </si>
  <si>
    <t xml:space="preserve">1. An approved versioned screenshot baseline exists for the current design system and browser build.
2. The test business uses fixed seeded Guardrail names and content, fixed locale, fixed fonts, and a fixed 1440 x 900 viewport.
3. Animations are disabled and timestamps, avatars, and other approved dynamic regions can be masked.</t>
  </si>
  <si>
    <t xml:space="preserve">1. Capture the Guardrails grid and list layouts, search no-results state, loading state, and recoverable error state.
2. Capture Input, Output, and Access with representative validation plus Contains PII, Moderation, and URL Filter settings dialogs.
3. Capture the non-destructive delete-confirmation state and the 1024 x 768 responsive wizard state.
4. Compare every image with the approved baseline, inspect all changed pixels, and classify each difference as expected, defect, or approved baseline update.</t>
  </si>
  <si>
    <t>Chrome stable; fixed seeded data; en-IN locale; 1440 x 900 plus 1024 x 768; pixel-difference threshold &lt;= 0.5% after approved masks</t>
  </si>
  <si>
    <t>Every required state has a named screenshot; unexplained pixel difference is no more than 0.5 percent after approved masks; clipping, overlap, missing focus, incorrect typography, color, spacing, icon, or action hierarchy has zero tolerance; intentional changes have design approval and a traceable baseline version rather than being autoaccepted.</t>
  </si>
  <si>
    <t>Visual regression</t>
  </si>
  <si>
    <t>Deterministic screenshot comparison followed by human review of every diff and design sign-off</t>
  </si>
  <si>
    <t>UAT release candidate with DEV baseline maintenance</t>
  </si>
  <si>
    <t>Non-Functional, Regression, Visual Regression</t>
  </si>
  <si>
    <t>@non-functional @regression @visual-regression @guardrails @manual</t>
  </si>
  <si>
    <t>GR-UX-033</t>
  </si>
  <si>
    <t>Guardrails localization and text expansion</t>
  </si>
  <si>
    <t>Verify international text, expansion, locale formats, and RTL reflow</t>
  </si>
  <si>
    <t>Ensure Guardrails remains understandable and operable when interface text expands, direction changes, and user content uses international characters.</t>
  </si>
  <si>
    <t xml:space="preserve">1. An approved pseudo-localization or translation test harness is available.
2. Test locales include en-IN, a 40% expanded pseudo-locale, de-DE, and ar-SA RTL.
3. Synthetic multilingual Guardrail names and policy text are approved for testing.</t>
  </si>
  <si>
    <t xml:space="preserve">1. Review the landing page, cards, search, action menus, wizard tabs, validation, settings dialogs, feedback, and confirmation in en-IN and the 40% expanded pseudo-locale.
2. Repeat with de-DE and ar-SA RTL, using keyboard and screen reader for representative controls.
3. Enter Latin accents, Devanagari, Arabic, CJK, and emoji in permitted Guardrail text fields and move forward and backward through the wizard.
4. Verify displayed dates, times, counts, punctuation, truncation, reading order, mirrored directional icons, and fallback behavior for any untranslated key.</t>
  </si>
  <si>
    <t>Locales: en-IN, pseudo +40%, de-DE, ar-SA RTL; content: Café, सुरक्षा, سياسة, 安全, 🔒; fixed creation date/time and counts</t>
  </si>
  <si>
    <t>Translated and expanded labels fit without overlap, clipping, or hidden actions; RTL layout and directional controls mirror while code-like or URL content retains correct direction; dates, times, counts, and punctuation follow the active locale; Unicode remains intact; focus and screen-reader order match visual order; no raw translation key or unintended English fallback appears.</t>
  </si>
  <si>
    <t>Localization and internationalization</t>
  </si>
  <si>
    <t>Pseudo-localization, locale switching, RTL visual review, keyboard review, and representative screen-reader checks</t>
  </si>
  <si>
    <t>DEV localization harness / UAT translated build</t>
  </si>
  <si>
    <t>Non-Functional, Regression, Accessibility, Responsive, Localization</t>
  </si>
  <si>
    <t>@non-functional @regression @a11y @responsive @localization @guardrails @localization-and-internationalization @manual</t>
  </si>
  <si>
    <t>GR-UX-034</t>
  </si>
  <si>
    <t>Guardrails exploratory UAT charter</t>
  </si>
  <si>
    <t>Explore a policy administrator's end-to-end Guardrails journey</t>
  </si>
  <si>
    <t>Discover usability, trust, recovery, and workflow risks that scripted cases may miss before business acceptance.</t>
  </si>
  <si>
    <t xml:space="preserve">1. A UAT business contains realistic but non-sensitive Guardrails and approved policy-administrator and restricted-collaborator accounts.
2. A disposable synthetic Guardrail naming convention and cleanup owner are agreed.
3. The session is time-boxed to 60 minutes and screen capture plus note-taking are enabled.</t>
  </si>
  <si>
    <t xml:space="preserve">1. Spend 10 minutes learning the page without guidance: search, compare layouts, inspect cards, and identify action consequences.
2. Spend 20 minutes drafting one realistic Guardrail across Input, Output, Access, and at least two nested settings, deliberately revisiting earlier choices.
3. Spend 15 minutes introducing interruptions: refresh, browser Back and Forward, expired or lost network, two tabs, validation errors, and cancellation without confirming destructive actions.
4. Spend 10 minutes switching to the restricted collaborator and explore clarity of unavailable or permission-limited actions.
5. Use the final 5 minutes to clean up approved synthetic data, group findings by workflow, and record severity, evidence, reproduction steps, and recommended follow-up.</t>
  </si>
  <si>
    <t>60-minute UAT charter; policy administrator plus restricted collaborator; one disposable QA Guardrail; Chrome; desktop and one tablet viewport</t>
  </si>
  <si>
    <t>The charter covers discovery, configuration, access, interruptions, recovery, and role clarity; every observation is recorded as positive evidence, question, or defect with timestamp and screenshot or video; defects include reproducible steps and severity; no unauthorized or destructive action is completed; all synthetic data is cleaned up or assigned to an owner; no unresolved Critical issue remains for acceptance.</t>
  </si>
  <si>
    <t>Exploratory UAT</t>
  </si>
  <si>
    <t>Time-boxed session-based exploratory testing with charter notes, screen recording, defect triage, and stakeholder debrief</t>
  </si>
  <si>
    <t>UAT only</t>
  </si>
  <si>
    <t>Non-Functional, Regression, Exploratory, UAT</t>
  </si>
  <si>
    <t>@non-functional @regression @exploratory @uat @exploratory-uat @guardrails @manual</t>
  </si>
  <si>
    <t>Guardrails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</si>
  <si>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</si>
  <si>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</si>
  <si>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</si>
  <si>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</si>
  <si>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</si>
  <si>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</si>
  <si>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</si>
  <si>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</si>
  <si>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</si>
  <si>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</si>
  <si>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</si>
  <si>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</si>
  <si>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</si>
  <si>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</si>
  <si>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</si>
  <si>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</si>
  <si>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</si>
  <si>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</si>
  <si>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</si>
  <si>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</si>
  <si>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P0.</t>
  </si>
  <si>
    <t>Priority coverage for P1.</t>
  </si>
  <si>
    <t>Priority coverage for P2.</t>
  </si>
  <si>
    <t>Severity coverage for Critical.</t>
  </si>
  <si>
    <t>Severity coverage for Major.</t>
  </si>
  <si>
    <t>Severity coverage for Minor.</t>
  </si>
  <si>
    <t>Test suite</t>
  </si>
  <si>
    <t>30 automated and 0 manual case(s) carry @functional.</t>
  </si>
  <si>
    <t>Non-Functional</t>
  </si>
  <si>
    <t>6 automated and 34 manual case(s) carry @non-functional.</t>
  </si>
  <si>
    <t>Smoke</t>
  </si>
  <si>
    <t>1 automated and 0 manual case(s) carry @smoke.</t>
  </si>
  <si>
    <t>Production Smoke</t>
  </si>
  <si>
    <t>1 automated and 0 manual case(s) carry @prod-smoke.</t>
  </si>
  <si>
    <t>Sanity</t>
  </si>
  <si>
    <t>4 automated and 0 manual case(s) carry @sanity.</t>
  </si>
  <si>
    <t>Regression</t>
  </si>
  <si>
    <t>30 automated and 34 manual case(s) carry @regression.</t>
  </si>
  <si>
    <t>End-to-End</t>
  </si>
  <si>
    <t>8 automated and 0 manual case(s) carry @e2e.</t>
  </si>
  <si>
    <t>Integration</t>
  </si>
  <si>
    <t>5 automated and 0 manual case(s) carry @integration.</t>
  </si>
  <si>
    <t>6 automated and 1 manual case(s) carry @security.</t>
  </si>
  <si>
    <t>0 automated and 20 manual case(s) carry @a11y.</t>
  </si>
  <si>
    <t>Responsive</t>
  </si>
  <si>
    <t>0 automated and 9 manual case(s) carry @responsive.</t>
  </si>
  <si>
    <t>Visual Regression</t>
  </si>
  <si>
    <t>0 automated and 1 manual case(s) carry @visual-regression.</t>
  </si>
  <si>
    <t>Performance</t>
  </si>
  <si>
    <t>0 automated and 1 manual case(s) carry @performance.</t>
  </si>
  <si>
    <t>Localization</t>
  </si>
  <si>
    <t>0 automated and 1 manual case(s) carry @localization.</t>
  </si>
  <si>
    <t>Exploratory</t>
  </si>
  <si>
    <t>0 automated and 1 manual case(s) carry @exploratory.</t>
  </si>
  <si>
    <t>UAT</t>
  </si>
  <si>
    <t>4 automated and 2 manual case(s) carry @uat.</t>
  </si>
  <si>
    <t>Assigned only when a specific failed case is rerun after a defect fix; intentionally zero at design time.</t>
  </si>
  <si>
    <t>Manual category</t>
  </si>
  <si>
    <t>Manual Accessibility review coverage.</t>
  </si>
  <si>
    <t>Manual Content design review coverage.</t>
  </si>
  <si>
    <t>Manual Content design and accessibility review coverage.</t>
  </si>
  <si>
    <t>Manual Content design and usability review coverage.</t>
  </si>
  <si>
    <t>Manual Content resilience review coverage.</t>
  </si>
  <si>
    <t>Manual Destructive-action UX review coverage.</t>
  </si>
  <si>
    <t>Manual Empty-state UX review coverage.</t>
  </si>
  <si>
    <t>Manual Error-state UX review coverage.</t>
  </si>
  <si>
    <t>Manual Exploratory UAT review coverage.</t>
  </si>
  <si>
    <t>Manual Feedback and state handling review coverage.</t>
  </si>
  <si>
    <t>Manual Form usability review coverage.</t>
  </si>
  <si>
    <t>Manual Information architecture review coverage.</t>
  </si>
  <si>
    <t>Manual Localization and internationalization review coverage.</t>
  </si>
  <si>
    <t>Manual Permission UX review coverage.</t>
  </si>
  <si>
    <t>Manual Responsive accessibility review coverage.</t>
  </si>
  <si>
    <t>Manual Responsive usability review coverage.</t>
  </si>
  <si>
    <t>Manual State handling review coverage.</t>
  </si>
  <si>
    <t>Manual UI performance review coverage.</t>
  </si>
  <si>
    <t>Manual Usability review coverage.</t>
  </si>
  <si>
    <t>Manual Usability and accessibility review coverage.</t>
  </si>
  <si>
    <t>Manual Validation UX review coverage.</t>
  </si>
  <si>
    <t>Manual Visual consistency review coverage.</t>
  </si>
  <si>
    <t>Manual Visual regression review coverage.</t>
  </si>
  <si>
    <t>Manual Wizard usability review coverage.</t>
  </si>
  <si>
    <t>Field</t>
  </si>
  <si>
    <t>Sheet</t>
  </si>
  <si>
    <t>Editable During Execution</t>
  </si>
  <si>
    <t>Required</t>
  </si>
  <si>
    <t>Description</t>
  </si>
  <si>
    <t>Example</t>
  </si>
  <si>
    <t>No</t>
  </si>
  <si>
    <t>Yes</t>
  </si>
  <si>
    <t>Unique Guardrails case reference used in evidence and defects.</t>
  </si>
  <si>
    <t>GR-001 / GR-UX-001</t>
  </si>
  <si>
    <t>Page section or user journey covered by the case.</t>
  </si>
  <si>
    <t>Guardrails navigation</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</si>
  <si>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</si>
  <si>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</si>
  <si>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</si>
  <si>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</si>
  <si>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</si>
  <si>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</si>
  <si>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</si>
  <si>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</si>
  <si>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</si>
  <si>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</si>
  <si>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</si>
  <si>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</si>
  <si>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</si>
  <si>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</si>
  <si>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</si>
  <si>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</si>
  <si>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</si>
  <si>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</si>
  <si>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</si>
  <si>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</si>
  <si>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</si>
  <si>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</si>
  <si>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</si>
  <si>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</si>
  <si>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@guardrails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</si>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</sst>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8">
    <fill>
      <patternFill patternType="none"/>
    </fill>
    <fill>
      <patternFill patternType="gray125"/>
    </fill>
    <fill>
      <patternFill patternType="solid">
        <fgColor rgb="FFC65911"/>
      </patternFill>
    </fill>
    <fill>
      <patternFill patternType="solid">
        <fgColor rgb="FFFCE4D6"/>
      </patternFill>
    </fill>
    <fill>
      <patternFill patternType="solid">
        <fgColor rgb="FFFFF2CC"/>
      </patternFill>
    </fill>
    <fill>
      <patternFill patternType="solid">
        <fgColor rgb="FFF4CCCC"/>
      </patternFill>
    </fill>
    <fill>
      <patternFill patternType="solid">
        <fgColor rgb="FF548235"/>
      </patternFill>
    </fill>
    <fill>
      <patternFill patternType="solid">
        <fgColor rgb="FF0F6B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5" fillId="4" borderId="0" xfId="0" applyFont="1" applyFill="1" applyAlignment="1">
      <alignment vertical="top" wrapText="1"/>
    </xf>
    <xf numFmtId="0" fontId="7" fillId="4" borderId="0" xfId="0" applyFont="1" applyFill="1" applyAlignment="1">
      <alignment vertical="top" wrapText="1"/>
    </xf>
    <xf numFmtId="0" fontId="7" fillId="5" borderId="0" xfId="0" applyFont="1" applyFill="1" applyAlignment="1">
      <alignment vertical="top" wrapText="1"/>
    </xf>
    <xf numFmtId="0" fontId="9" fillId="6" borderId="0" xfId="0" applyFont="1" applyFill="1" applyAlignment="1">
      <alignment horizontal="left" vertical="center"/>
    </xf>
    <xf numFmtId="0" fontId="10" fillId="0" borderId="0" xfId="0" applyFont="1"/>
    <xf numFmtId="0" fontId="3" fillId="6"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xf numFmtId="0" fontId="3" fillId="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GuardrailsAutomatedCases" displayName="GuardrailsAutomatedCases" ref="A1:V31" totalsRowShown="1" headerRowCount="1">
  <autoFilter ref="A1:V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GuardrailsManualUiUxCases" displayName="GuardrailsManualUiUxCases" ref="A1:W35" totalsRowShown="1" headerRowCount="1">
  <autoFilter ref="A1:W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GuardrailsUiUxFieldReference" displayName="Guardrails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31"/>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7"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86</v>
      </c>
      <c r="J3" s="7" t="s">
        <v>106</v>
      </c>
      <c r="K3" s="7" t="s">
        <v>88</v>
      </c>
      <c r="L3" s="7" t="s">
        <v>89</v>
      </c>
      <c r="M3" s="10" t="s">
        <v>90</v>
      </c>
      <c r="N3" s="7" t="s">
        <v>91</v>
      </c>
      <c r="O3" s="7" t="s">
        <v>92</v>
      </c>
      <c r="P3" s="7" t="s">
        <v>93</v>
      </c>
      <c r="Q3" s="7" t="s">
        <v>94</v>
      </c>
      <c r="R3" s="7" t="s">
        <v>107</v>
      </c>
      <c r="S3" s="7" t="s">
        <v>108</v>
      </c>
      <c r="T3" s="7" t="s">
        <v>109</v>
      </c>
      <c r="U3" s="7" t="s">
        <v>98</v>
      </c>
      <c r="V3" s="7" t="s">
        <v>99</v>
      </c>
    </row>
    <row r="4" ht="76" customHeight="1" spans="1:22" s="7" customFormat="1" x14ac:dyDescent="0.25">
      <c r="A4" s="7">
        <v>3</v>
      </c>
      <c r="B4" s="8" t="s">
        <v>110</v>
      </c>
      <c r="C4" s="7" t="s">
        <v>80</v>
      </c>
      <c r="D4" s="7" t="s">
        <v>101</v>
      </c>
      <c r="E4" s="7" t="s">
        <v>111</v>
      </c>
      <c r="F4" s="7" t="s">
        <v>112</v>
      </c>
      <c r="G4" s="7" t="s">
        <v>84</v>
      </c>
      <c r="H4" s="7" t="s">
        <v>113</v>
      </c>
      <c r="I4" s="9" t="s">
        <v>114</v>
      </c>
      <c r="J4" s="7" t="s">
        <v>115</v>
      </c>
      <c r="K4" s="7" t="s">
        <v>88</v>
      </c>
      <c r="L4" s="7" t="s">
        <v>89</v>
      </c>
      <c r="M4" s="10" t="s">
        <v>90</v>
      </c>
      <c r="N4" s="7" t="s">
        <v>91</v>
      </c>
      <c r="O4" s="7" t="s">
        <v>92</v>
      </c>
      <c r="P4" s="7" t="s">
        <v>93</v>
      </c>
      <c r="Q4" s="7" t="s">
        <v>94</v>
      </c>
      <c r="R4" s="7" t="s">
        <v>116</v>
      </c>
      <c r="S4" s="7" t="s">
        <v>117</v>
      </c>
      <c r="T4" s="7" t="s">
        <v>118</v>
      </c>
      <c r="U4" s="7" t="s">
        <v>98</v>
      </c>
      <c r="V4" s="7" t="s">
        <v>99</v>
      </c>
    </row>
    <row r="5" ht="76" customHeight="1" spans="1:22" s="7" customFormat="1" x14ac:dyDescent="0.25">
      <c r="A5" s="7">
        <v>4</v>
      </c>
      <c r="B5" s="8" t="s">
        <v>119</v>
      </c>
      <c r="C5" s="7" t="s">
        <v>80</v>
      </c>
      <c r="D5" s="7" t="s">
        <v>120</v>
      </c>
      <c r="E5" s="7" t="s">
        <v>121</v>
      </c>
      <c r="F5" s="7" t="s">
        <v>122</v>
      </c>
      <c r="G5" s="7" t="s">
        <v>84</v>
      </c>
      <c r="H5" s="7" t="s">
        <v>123</v>
      </c>
      <c r="I5" s="9" t="s">
        <v>124</v>
      </c>
      <c r="J5" s="7" t="s">
        <v>125</v>
      </c>
      <c r="K5" s="7" t="s">
        <v>88</v>
      </c>
      <c r="L5" s="7" t="s">
        <v>89</v>
      </c>
      <c r="M5" s="10" t="s">
        <v>90</v>
      </c>
      <c r="N5" s="7" t="s">
        <v>91</v>
      </c>
      <c r="O5" s="7" t="s">
        <v>92</v>
      </c>
      <c r="P5" s="7" t="s">
        <v>93</v>
      </c>
      <c r="Q5" s="7" t="s">
        <v>94</v>
      </c>
      <c r="R5" s="7" t="s">
        <v>107</v>
      </c>
      <c r="S5" s="7" t="s">
        <v>108</v>
      </c>
      <c r="T5" s="7" t="s">
        <v>126</v>
      </c>
      <c r="U5" s="7" t="s">
        <v>98</v>
      </c>
      <c r="V5" s="7" t="s">
        <v>99</v>
      </c>
    </row>
    <row r="6" ht="76" customHeight="1" spans="1:22" s="7" customFormat="1" x14ac:dyDescent="0.25">
      <c r="A6" s="7">
        <v>5</v>
      </c>
      <c r="B6" s="8" t="s">
        <v>127</v>
      </c>
      <c r="C6" s="7" t="s">
        <v>80</v>
      </c>
      <c r="D6" s="7" t="s">
        <v>128</v>
      </c>
      <c r="E6" s="7" t="s">
        <v>129</v>
      </c>
      <c r="F6" s="7" t="s">
        <v>130</v>
      </c>
      <c r="G6" s="7" t="s">
        <v>84</v>
      </c>
      <c r="H6" s="7" t="s">
        <v>131</v>
      </c>
      <c r="I6" s="9" t="s">
        <v>132</v>
      </c>
      <c r="J6" s="7" t="s">
        <v>133</v>
      </c>
      <c r="K6" s="7" t="s">
        <v>88</v>
      </c>
      <c r="L6" s="7" t="s">
        <v>134</v>
      </c>
      <c r="M6" s="10" t="s">
        <v>90</v>
      </c>
      <c r="N6" s="7" t="s">
        <v>91</v>
      </c>
      <c r="O6" s="7" t="s">
        <v>92</v>
      </c>
      <c r="P6" s="7" t="s">
        <v>93</v>
      </c>
      <c r="Q6" s="7" t="s">
        <v>94</v>
      </c>
      <c r="R6" s="7" t="s">
        <v>116</v>
      </c>
      <c r="S6" s="7" t="s">
        <v>117</v>
      </c>
      <c r="T6" s="7" t="s">
        <v>135</v>
      </c>
      <c r="U6" s="7" t="s">
        <v>98</v>
      </c>
      <c r="V6" s="7" t="s">
        <v>99</v>
      </c>
    </row>
    <row r="7" ht="76" customHeight="1" spans="1:22" s="7" customFormat="1" x14ac:dyDescent="0.25">
      <c r="A7" s="7">
        <v>6</v>
      </c>
      <c r="B7" s="8" t="s">
        <v>136</v>
      </c>
      <c r="C7" s="7" t="s">
        <v>80</v>
      </c>
      <c r="D7" s="7" t="s">
        <v>128</v>
      </c>
      <c r="E7" s="7" t="s">
        <v>137</v>
      </c>
      <c r="F7" s="7" t="s">
        <v>138</v>
      </c>
      <c r="G7" s="7" t="s">
        <v>84</v>
      </c>
      <c r="H7" s="7" t="s">
        <v>139</v>
      </c>
      <c r="I7" s="9" t="s">
        <v>140</v>
      </c>
      <c r="J7" s="7" t="s">
        <v>141</v>
      </c>
      <c r="K7" s="7" t="s">
        <v>88</v>
      </c>
      <c r="L7" s="7" t="s">
        <v>134</v>
      </c>
      <c r="M7" s="10" t="s">
        <v>90</v>
      </c>
      <c r="N7" s="11" t="s">
        <v>142</v>
      </c>
      <c r="O7" s="7" t="s">
        <v>92</v>
      </c>
      <c r="P7" s="7" t="s">
        <v>93</v>
      </c>
      <c r="Q7" s="7" t="s">
        <v>94</v>
      </c>
      <c r="R7" s="7" t="s">
        <v>116</v>
      </c>
      <c r="S7" s="7" t="s">
        <v>117</v>
      </c>
      <c r="T7" s="7" t="s">
        <v>143</v>
      </c>
      <c r="U7" s="7" t="s">
        <v>98</v>
      </c>
      <c r="V7" s="7" t="s">
        <v>99</v>
      </c>
    </row>
    <row r="8" ht="76" customHeight="1" spans="1:22" s="7" customFormat="1" x14ac:dyDescent="0.25">
      <c r="A8" s="7">
        <v>7</v>
      </c>
      <c r="B8" s="8" t="s">
        <v>144</v>
      </c>
      <c r="C8" s="7" t="s">
        <v>80</v>
      </c>
      <c r="D8" s="7" t="s">
        <v>145</v>
      </c>
      <c r="E8" s="7" t="s">
        <v>146</v>
      </c>
      <c r="F8" s="7" t="s">
        <v>147</v>
      </c>
      <c r="G8" s="7" t="s">
        <v>84</v>
      </c>
      <c r="H8" s="7" t="s">
        <v>148</v>
      </c>
      <c r="I8" s="9" t="s">
        <v>86</v>
      </c>
      <c r="J8" s="7" t="s">
        <v>149</v>
      </c>
      <c r="K8" s="7" t="s">
        <v>88</v>
      </c>
      <c r="L8" s="7" t="s">
        <v>150</v>
      </c>
      <c r="M8" s="10" t="s">
        <v>90</v>
      </c>
      <c r="N8" s="7" t="s">
        <v>91</v>
      </c>
      <c r="O8" s="7" t="s">
        <v>92</v>
      </c>
      <c r="P8" s="7" t="s">
        <v>93</v>
      </c>
      <c r="Q8" s="7" t="s">
        <v>94</v>
      </c>
      <c r="R8" s="7" t="s">
        <v>116</v>
      </c>
      <c r="S8" s="7" t="s">
        <v>117</v>
      </c>
      <c r="T8" s="7" t="s">
        <v>151</v>
      </c>
      <c r="U8" s="7" t="s">
        <v>98</v>
      </c>
      <c r="V8" s="7" t="s">
        <v>99</v>
      </c>
    </row>
    <row r="9" ht="76" customHeight="1" spans="1:22" s="7" customFormat="1" x14ac:dyDescent="0.25">
      <c r="A9" s="7">
        <v>8</v>
      </c>
      <c r="B9" s="8" t="s">
        <v>152</v>
      </c>
      <c r="C9" s="7" t="s">
        <v>80</v>
      </c>
      <c r="D9" s="7" t="s">
        <v>153</v>
      </c>
      <c r="E9" s="7" t="s">
        <v>154</v>
      </c>
      <c r="F9" s="7" t="s">
        <v>155</v>
      </c>
      <c r="G9" s="7" t="s">
        <v>84</v>
      </c>
      <c r="H9" s="7" t="s">
        <v>156</v>
      </c>
      <c r="I9" s="9" t="s">
        <v>157</v>
      </c>
      <c r="J9" s="7" t="s">
        <v>158</v>
      </c>
      <c r="K9" s="7" t="s">
        <v>88</v>
      </c>
      <c r="L9" s="7" t="s">
        <v>89</v>
      </c>
      <c r="M9" s="10" t="s">
        <v>90</v>
      </c>
      <c r="N9" s="7" t="s">
        <v>91</v>
      </c>
      <c r="O9" s="7" t="s">
        <v>92</v>
      </c>
      <c r="P9" s="7" t="s">
        <v>93</v>
      </c>
      <c r="Q9" s="7" t="s">
        <v>94</v>
      </c>
      <c r="R9" s="7" t="s">
        <v>116</v>
      </c>
      <c r="S9" s="7" t="s">
        <v>117</v>
      </c>
      <c r="T9" s="7" t="s">
        <v>159</v>
      </c>
      <c r="U9" s="7" t="s">
        <v>98</v>
      </c>
      <c r="V9" s="7" t="s">
        <v>99</v>
      </c>
    </row>
    <row r="10" ht="76" customHeight="1" spans="1:22" s="7" customFormat="1" x14ac:dyDescent="0.25">
      <c r="A10" s="7">
        <v>9</v>
      </c>
      <c r="B10" s="8" t="s">
        <v>160</v>
      </c>
      <c r="C10" s="7" t="s">
        <v>80</v>
      </c>
      <c r="D10" s="7" t="s">
        <v>153</v>
      </c>
      <c r="E10" s="7" t="s">
        <v>161</v>
      </c>
      <c r="F10" s="7" t="s">
        <v>162</v>
      </c>
      <c r="G10" s="7" t="s">
        <v>84</v>
      </c>
      <c r="H10" s="7" t="s">
        <v>163</v>
      </c>
      <c r="I10" s="9" t="s">
        <v>164</v>
      </c>
      <c r="J10" s="7" t="s">
        <v>165</v>
      </c>
      <c r="K10" s="7" t="s">
        <v>88</v>
      </c>
      <c r="L10" s="7" t="s">
        <v>89</v>
      </c>
      <c r="M10" s="10" t="s">
        <v>90</v>
      </c>
      <c r="N10" s="7" t="s">
        <v>91</v>
      </c>
      <c r="O10" s="7" t="s">
        <v>92</v>
      </c>
      <c r="P10" s="7" t="s">
        <v>93</v>
      </c>
      <c r="Q10" s="7" t="s">
        <v>94</v>
      </c>
      <c r="R10" s="7" t="s">
        <v>116</v>
      </c>
      <c r="S10" s="7" t="s">
        <v>117</v>
      </c>
      <c r="T10" s="7" t="s">
        <v>166</v>
      </c>
      <c r="U10" s="7" t="s">
        <v>98</v>
      </c>
      <c r="V10" s="7" t="s">
        <v>99</v>
      </c>
    </row>
    <row r="11" ht="76" customHeight="1" spans="1:22" s="7" customFormat="1" x14ac:dyDescent="0.25">
      <c r="A11" s="7">
        <v>10</v>
      </c>
      <c r="B11" s="8" t="s">
        <v>167</v>
      </c>
      <c r="C11" s="7" t="s">
        <v>80</v>
      </c>
      <c r="D11" s="7" t="s">
        <v>153</v>
      </c>
      <c r="E11" s="7" t="s">
        <v>168</v>
      </c>
      <c r="F11" s="7" t="s">
        <v>169</v>
      </c>
      <c r="G11" s="7" t="s">
        <v>84</v>
      </c>
      <c r="H11" s="7" t="s">
        <v>170</v>
      </c>
      <c r="I11" s="9" t="s">
        <v>171</v>
      </c>
      <c r="J11" s="7" t="s">
        <v>172</v>
      </c>
      <c r="K11" s="7" t="s">
        <v>88</v>
      </c>
      <c r="L11" s="7" t="s">
        <v>150</v>
      </c>
      <c r="M11" s="10" t="s">
        <v>90</v>
      </c>
      <c r="N11" s="7" t="s">
        <v>91</v>
      </c>
      <c r="O11" s="7" t="s">
        <v>92</v>
      </c>
      <c r="P11" s="7" t="s">
        <v>93</v>
      </c>
      <c r="Q11" s="7" t="s">
        <v>94</v>
      </c>
      <c r="R11" s="7" t="s">
        <v>116</v>
      </c>
      <c r="S11" s="7" t="s">
        <v>117</v>
      </c>
      <c r="T11" s="7" t="s">
        <v>173</v>
      </c>
      <c r="U11" s="7" t="s">
        <v>98</v>
      </c>
      <c r="V11" s="7" t="s">
        <v>99</v>
      </c>
    </row>
    <row r="12" ht="76" customHeight="1" spans="1:22" s="7" customFormat="1" x14ac:dyDescent="0.25">
      <c r="A12" s="7">
        <v>11</v>
      </c>
      <c r="B12" s="8" t="s">
        <v>174</v>
      </c>
      <c r="C12" s="7" t="s">
        <v>80</v>
      </c>
      <c r="D12" s="7" t="s">
        <v>175</v>
      </c>
      <c r="E12" s="7" t="s">
        <v>176</v>
      </c>
      <c r="F12" s="7" t="s">
        <v>177</v>
      </c>
      <c r="G12" s="7" t="s">
        <v>84</v>
      </c>
      <c r="H12" s="7" t="s">
        <v>178</v>
      </c>
      <c r="I12" s="9" t="s">
        <v>179</v>
      </c>
      <c r="J12" s="7" t="s">
        <v>180</v>
      </c>
      <c r="K12" s="7" t="s">
        <v>88</v>
      </c>
      <c r="L12" s="7" t="s">
        <v>89</v>
      </c>
      <c r="M12" s="10" t="s">
        <v>90</v>
      </c>
      <c r="N12" s="7" t="s">
        <v>91</v>
      </c>
      <c r="O12" s="7" t="s">
        <v>92</v>
      </c>
      <c r="P12" s="7" t="s">
        <v>93</v>
      </c>
      <c r="Q12" s="7" t="s">
        <v>94</v>
      </c>
      <c r="R12" s="7" t="s">
        <v>116</v>
      </c>
      <c r="S12" s="7" t="s">
        <v>117</v>
      </c>
      <c r="T12" s="7" t="s">
        <v>181</v>
      </c>
      <c r="U12" s="7" t="s">
        <v>98</v>
      </c>
      <c r="V12" s="7" t="s">
        <v>99</v>
      </c>
    </row>
    <row r="13" ht="76" customHeight="1" spans="1:22" s="7" customFormat="1" x14ac:dyDescent="0.25">
      <c r="A13" s="7">
        <v>12</v>
      </c>
      <c r="B13" s="8" t="s">
        <v>182</v>
      </c>
      <c r="C13" s="7" t="s">
        <v>80</v>
      </c>
      <c r="D13" s="7" t="s">
        <v>175</v>
      </c>
      <c r="E13" s="7" t="s">
        <v>183</v>
      </c>
      <c r="F13" s="7" t="s">
        <v>184</v>
      </c>
      <c r="G13" s="7" t="s">
        <v>84</v>
      </c>
      <c r="H13" s="7" t="s">
        <v>185</v>
      </c>
      <c r="I13" s="9" t="s">
        <v>186</v>
      </c>
      <c r="J13" s="7" t="s">
        <v>187</v>
      </c>
      <c r="K13" s="7" t="s">
        <v>88</v>
      </c>
      <c r="L13" s="7" t="s">
        <v>89</v>
      </c>
      <c r="M13" s="10" t="s">
        <v>90</v>
      </c>
      <c r="N13" s="7" t="s">
        <v>91</v>
      </c>
      <c r="O13" s="7" t="s">
        <v>92</v>
      </c>
      <c r="P13" s="7" t="s">
        <v>93</v>
      </c>
      <c r="Q13" s="7" t="s">
        <v>94</v>
      </c>
      <c r="R13" s="7" t="s">
        <v>116</v>
      </c>
      <c r="S13" s="7" t="s">
        <v>117</v>
      </c>
      <c r="T13" s="7" t="s">
        <v>188</v>
      </c>
      <c r="U13" s="7" t="s">
        <v>98</v>
      </c>
      <c r="V13" s="7" t="s">
        <v>99</v>
      </c>
    </row>
    <row r="14" ht="76" customHeight="1" spans="1:22" s="7" customFormat="1" x14ac:dyDescent="0.25">
      <c r="A14" s="7">
        <v>13</v>
      </c>
      <c r="B14" s="8" t="s">
        <v>189</v>
      </c>
      <c r="C14" s="7" t="s">
        <v>80</v>
      </c>
      <c r="D14" s="7" t="s">
        <v>190</v>
      </c>
      <c r="E14" s="7" t="s">
        <v>191</v>
      </c>
      <c r="F14" s="7" t="s">
        <v>192</v>
      </c>
      <c r="G14" s="7" t="s">
        <v>84</v>
      </c>
      <c r="H14" s="7" t="s">
        <v>193</v>
      </c>
      <c r="I14" s="9" t="s">
        <v>86</v>
      </c>
      <c r="J14" s="7" t="s">
        <v>194</v>
      </c>
      <c r="K14" s="7" t="s">
        <v>88</v>
      </c>
      <c r="L14" s="7" t="s">
        <v>89</v>
      </c>
      <c r="M14" s="10" t="s">
        <v>90</v>
      </c>
      <c r="N14" s="7" t="s">
        <v>91</v>
      </c>
      <c r="O14" s="7" t="s">
        <v>92</v>
      </c>
      <c r="P14" s="7" t="s">
        <v>93</v>
      </c>
      <c r="Q14" s="7" t="s">
        <v>94</v>
      </c>
      <c r="R14" s="7" t="s">
        <v>116</v>
      </c>
      <c r="S14" s="7" t="s">
        <v>117</v>
      </c>
      <c r="T14" s="7" t="s">
        <v>195</v>
      </c>
      <c r="U14" s="7" t="s">
        <v>98</v>
      </c>
      <c r="V14" s="7" t="s">
        <v>99</v>
      </c>
    </row>
    <row r="15" ht="76" customHeight="1" spans="1:22" s="7" customFormat="1" x14ac:dyDescent="0.25">
      <c r="A15" s="7">
        <v>14</v>
      </c>
      <c r="B15" s="8" t="s">
        <v>196</v>
      </c>
      <c r="C15" s="7" t="s">
        <v>80</v>
      </c>
      <c r="D15" s="7" t="s">
        <v>197</v>
      </c>
      <c r="E15" s="7" t="s">
        <v>198</v>
      </c>
      <c r="F15" s="7" t="s">
        <v>199</v>
      </c>
      <c r="G15" s="7" t="s">
        <v>84</v>
      </c>
      <c r="H15" s="7" t="s">
        <v>200</v>
      </c>
      <c r="I15" s="9" t="s">
        <v>201</v>
      </c>
      <c r="J15" s="7" t="s">
        <v>202</v>
      </c>
      <c r="K15" s="7" t="s">
        <v>88</v>
      </c>
      <c r="L15" s="7" t="s">
        <v>89</v>
      </c>
      <c r="M15" s="10" t="s">
        <v>90</v>
      </c>
      <c r="N15" s="7" t="s">
        <v>91</v>
      </c>
      <c r="O15" s="7" t="s">
        <v>92</v>
      </c>
      <c r="P15" s="7" t="s">
        <v>93</v>
      </c>
      <c r="Q15" s="7" t="s">
        <v>94</v>
      </c>
      <c r="R15" s="7" t="s">
        <v>203</v>
      </c>
      <c r="S15" s="7" t="s">
        <v>204</v>
      </c>
      <c r="T15" s="7" t="s">
        <v>205</v>
      </c>
      <c r="U15" s="7" t="s">
        <v>98</v>
      </c>
      <c r="V15" s="7" t="s">
        <v>99</v>
      </c>
    </row>
    <row r="16" ht="76" customHeight="1" spans="1:22" s="7" customFormat="1" x14ac:dyDescent="0.25">
      <c r="A16" s="7">
        <v>15</v>
      </c>
      <c r="B16" s="8" t="s">
        <v>206</v>
      </c>
      <c r="C16" s="7" t="s">
        <v>80</v>
      </c>
      <c r="D16" s="7" t="s">
        <v>207</v>
      </c>
      <c r="E16" s="7" t="s">
        <v>208</v>
      </c>
      <c r="F16" s="7" t="s">
        <v>209</v>
      </c>
      <c r="G16" s="7" t="s">
        <v>84</v>
      </c>
      <c r="H16" s="7" t="s">
        <v>210</v>
      </c>
      <c r="I16" s="9" t="s">
        <v>211</v>
      </c>
      <c r="J16" s="7" t="s">
        <v>212</v>
      </c>
      <c r="K16" s="7" t="s">
        <v>88</v>
      </c>
      <c r="L16" s="7" t="s">
        <v>89</v>
      </c>
      <c r="M16" s="10" t="s">
        <v>90</v>
      </c>
      <c r="N16" s="7" t="s">
        <v>91</v>
      </c>
      <c r="O16" s="7" t="s">
        <v>92</v>
      </c>
      <c r="P16" s="7" t="s">
        <v>93</v>
      </c>
      <c r="Q16" s="7" t="s">
        <v>94</v>
      </c>
      <c r="R16" s="7" t="s">
        <v>116</v>
      </c>
      <c r="S16" s="7" t="s">
        <v>117</v>
      </c>
      <c r="T16" s="7" t="s">
        <v>213</v>
      </c>
      <c r="U16" s="7" t="s">
        <v>98</v>
      </c>
      <c r="V16" s="7" t="s">
        <v>99</v>
      </c>
    </row>
    <row r="17" ht="76" customHeight="1" spans="1:22" s="7" customFormat="1" x14ac:dyDescent="0.25">
      <c r="A17" s="7">
        <v>16</v>
      </c>
      <c r="B17" s="8" t="s">
        <v>214</v>
      </c>
      <c r="C17" s="7" t="s">
        <v>80</v>
      </c>
      <c r="D17" s="7" t="s">
        <v>215</v>
      </c>
      <c r="E17" s="7" t="s">
        <v>216</v>
      </c>
      <c r="F17" s="7" t="s">
        <v>217</v>
      </c>
      <c r="G17" s="7" t="s">
        <v>84</v>
      </c>
      <c r="H17" s="7" t="s">
        <v>218</v>
      </c>
      <c r="I17" s="9" t="s">
        <v>219</v>
      </c>
      <c r="J17" s="7" t="s">
        <v>220</v>
      </c>
      <c r="K17" s="7" t="s">
        <v>88</v>
      </c>
      <c r="L17" s="7" t="s">
        <v>89</v>
      </c>
      <c r="M17" s="10" t="s">
        <v>90</v>
      </c>
      <c r="N17" s="7" t="s">
        <v>91</v>
      </c>
      <c r="O17" s="7" t="s">
        <v>92</v>
      </c>
      <c r="P17" s="7" t="s">
        <v>93</v>
      </c>
      <c r="Q17" s="7" t="s">
        <v>94</v>
      </c>
      <c r="R17" s="7" t="s">
        <v>107</v>
      </c>
      <c r="S17" s="7" t="s">
        <v>108</v>
      </c>
      <c r="T17" s="7" t="s">
        <v>221</v>
      </c>
      <c r="U17" s="7" t="s">
        <v>98</v>
      </c>
      <c r="V17" s="7" t="s">
        <v>99</v>
      </c>
    </row>
    <row r="18" ht="76" customHeight="1" spans="1:22" s="7" customFormat="1" x14ac:dyDescent="0.25">
      <c r="A18" s="7">
        <v>17</v>
      </c>
      <c r="B18" s="8" t="s">
        <v>222</v>
      </c>
      <c r="C18" s="7" t="s">
        <v>80</v>
      </c>
      <c r="D18" s="7" t="s">
        <v>223</v>
      </c>
      <c r="E18" s="7" t="s">
        <v>224</v>
      </c>
      <c r="F18" s="7" t="s">
        <v>225</v>
      </c>
      <c r="G18" s="7" t="s">
        <v>226</v>
      </c>
      <c r="H18" s="7" t="s">
        <v>227</v>
      </c>
      <c r="I18" s="9" t="s">
        <v>228</v>
      </c>
      <c r="J18" s="7" t="s">
        <v>229</v>
      </c>
      <c r="K18" s="7" t="s">
        <v>230</v>
      </c>
      <c r="L18" s="7" t="s">
        <v>89</v>
      </c>
      <c r="M18" s="10" t="s">
        <v>90</v>
      </c>
      <c r="N18" s="11" t="s">
        <v>142</v>
      </c>
      <c r="O18" s="7" t="s">
        <v>92</v>
      </c>
      <c r="P18" s="12" t="s">
        <v>231</v>
      </c>
      <c r="Q18" s="7" t="s">
        <v>94</v>
      </c>
      <c r="R18" s="7" t="s">
        <v>232</v>
      </c>
      <c r="S18" s="7" t="s">
        <v>233</v>
      </c>
      <c r="T18" s="7" t="s">
        <v>234</v>
      </c>
      <c r="U18" s="7" t="s">
        <v>98</v>
      </c>
      <c r="V18" s="7" t="s">
        <v>99</v>
      </c>
    </row>
    <row r="19" ht="76" customHeight="1" spans="1:22" s="7" customFormat="1" x14ac:dyDescent="0.25">
      <c r="A19" s="7">
        <v>18</v>
      </c>
      <c r="B19" s="8" t="s">
        <v>235</v>
      </c>
      <c r="C19" s="7" t="s">
        <v>80</v>
      </c>
      <c r="D19" s="7" t="s">
        <v>236</v>
      </c>
      <c r="E19" s="7" t="s">
        <v>237</v>
      </c>
      <c r="F19" s="7" t="s">
        <v>238</v>
      </c>
      <c r="G19" s="7" t="s">
        <v>239</v>
      </c>
      <c r="H19" s="7" t="s">
        <v>240</v>
      </c>
      <c r="I19" s="9" t="s">
        <v>241</v>
      </c>
      <c r="J19" s="7" t="s">
        <v>242</v>
      </c>
      <c r="K19" s="7" t="s">
        <v>230</v>
      </c>
      <c r="L19" s="7" t="s">
        <v>89</v>
      </c>
      <c r="M19" s="10" t="s">
        <v>90</v>
      </c>
      <c r="N19" s="11" t="s">
        <v>142</v>
      </c>
      <c r="O19" s="7" t="s">
        <v>92</v>
      </c>
      <c r="P19" s="7" t="s">
        <v>93</v>
      </c>
      <c r="Q19" s="7" t="s">
        <v>94</v>
      </c>
      <c r="R19" s="7" t="s">
        <v>232</v>
      </c>
      <c r="S19" s="7" t="s">
        <v>233</v>
      </c>
      <c r="T19" s="7" t="s">
        <v>243</v>
      </c>
      <c r="U19" s="7" t="s">
        <v>98</v>
      </c>
      <c r="V19" s="7" t="s">
        <v>99</v>
      </c>
    </row>
    <row r="20" ht="76" customHeight="1" spans="1:22" s="7" customFormat="1" x14ac:dyDescent="0.25">
      <c r="A20" s="7">
        <v>19</v>
      </c>
      <c r="B20" s="8" t="s">
        <v>244</v>
      </c>
      <c r="C20" s="7" t="s">
        <v>80</v>
      </c>
      <c r="D20" s="7" t="s">
        <v>101</v>
      </c>
      <c r="E20" s="7" t="s">
        <v>245</v>
      </c>
      <c r="F20" s="7" t="s">
        <v>246</v>
      </c>
      <c r="G20" s="7" t="s">
        <v>239</v>
      </c>
      <c r="H20" s="7" t="s">
        <v>247</v>
      </c>
      <c r="I20" s="9" t="s">
        <v>86</v>
      </c>
      <c r="J20" s="7" t="s">
        <v>248</v>
      </c>
      <c r="K20" s="7" t="s">
        <v>88</v>
      </c>
      <c r="L20" s="7" t="s">
        <v>89</v>
      </c>
      <c r="M20" s="10" t="s">
        <v>90</v>
      </c>
      <c r="N20" s="7" t="s">
        <v>91</v>
      </c>
      <c r="O20" s="7" t="s">
        <v>92</v>
      </c>
      <c r="P20" s="7" t="s">
        <v>93</v>
      </c>
      <c r="Q20" s="7" t="s">
        <v>94</v>
      </c>
      <c r="R20" s="7" t="s">
        <v>249</v>
      </c>
      <c r="S20" s="7" t="s">
        <v>250</v>
      </c>
      <c r="T20" s="7" t="s">
        <v>251</v>
      </c>
      <c r="U20" s="7" t="s">
        <v>98</v>
      </c>
      <c r="V20" s="7" t="s">
        <v>99</v>
      </c>
    </row>
    <row r="21" ht="76" customHeight="1" spans="1:22" s="7" customFormat="1" x14ac:dyDescent="0.25">
      <c r="A21" s="7">
        <v>20</v>
      </c>
      <c r="B21" s="8" t="s">
        <v>252</v>
      </c>
      <c r="C21" s="7" t="s">
        <v>80</v>
      </c>
      <c r="D21" s="7" t="s">
        <v>253</v>
      </c>
      <c r="E21" s="7" t="s">
        <v>254</v>
      </c>
      <c r="F21" s="7" t="s">
        <v>255</v>
      </c>
      <c r="G21" s="7" t="s">
        <v>239</v>
      </c>
      <c r="H21" s="7" t="s">
        <v>256</v>
      </c>
      <c r="I21" s="9" t="s">
        <v>257</v>
      </c>
      <c r="J21" s="7" t="s">
        <v>258</v>
      </c>
      <c r="K21" s="7" t="s">
        <v>88</v>
      </c>
      <c r="L21" s="7" t="s">
        <v>134</v>
      </c>
      <c r="M21" s="10" t="s">
        <v>90</v>
      </c>
      <c r="N21" s="7" t="s">
        <v>91</v>
      </c>
      <c r="O21" s="7" t="s">
        <v>92</v>
      </c>
      <c r="P21" s="7" t="s">
        <v>93</v>
      </c>
      <c r="Q21" s="7" t="s">
        <v>94</v>
      </c>
      <c r="R21" s="7" t="s">
        <v>249</v>
      </c>
      <c r="S21" s="7" t="s">
        <v>250</v>
      </c>
      <c r="T21" s="7" t="s">
        <v>259</v>
      </c>
      <c r="U21" s="7" t="s">
        <v>98</v>
      </c>
      <c r="V21" s="7" t="s">
        <v>99</v>
      </c>
    </row>
    <row r="22" ht="76" customHeight="1" spans="1:22" s="7" customFormat="1" x14ac:dyDescent="0.25">
      <c r="A22" s="7">
        <v>21</v>
      </c>
      <c r="B22" s="8" t="s">
        <v>260</v>
      </c>
      <c r="C22" s="7" t="s">
        <v>80</v>
      </c>
      <c r="D22" s="7" t="s">
        <v>261</v>
      </c>
      <c r="E22" s="7" t="s">
        <v>262</v>
      </c>
      <c r="F22" s="7" t="s">
        <v>263</v>
      </c>
      <c r="G22" s="7" t="s">
        <v>239</v>
      </c>
      <c r="H22" s="7" t="s">
        <v>264</v>
      </c>
      <c r="I22" s="9" t="s">
        <v>265</v>
      </c>
      <c r="J22" s="7" t="s">
        <v>266</v>
      </c>
      <c r="K22" s="7" t="s">
        <v>230</v>
      </c>
      <c r="L22" s="7" t="s">
        <v>89</v>
      </c>
      <c r="M22" s="10" t="s">
        <v>90</v>
      </c>
      <c r="N22" s="11" t="s">
        <v>142</v>
      </c>
      <c r="O22" s="7" t="s">
        <v>92</v>
      </c>
      <c r="P22" s="12" t="s">
        <v>231</v>
      </c>
      <c r="Q22" s="7" t="s">
        <v>94</v>
      </c>
      <c r="R22" s="7" t="s">
        <v>232</v>
      </c>
      <c r="S22" s="7" t="s">
        <v>233</v>
      </c>
      <c r="T22" s="7" t="s">
        <v>267</v>
      </c>
      <c r="U22" s="7" t="s">
        <v>98</v>
      </c>
      <c r="V22" s="7" t="s">
        <v>99</v>
      </c>
    </row>
    <row r="23" ht="76" customHeight="1" spans="1:22" s="7" customFormat="1" x14ac:dyDescent="0.25">
      <c r="A23" s="7">
        <v>22</v>
      </c>
      <c r="B23" s="8" t="s">
        <v>268</v>
      </c>
      <c r="C23" s="7" t="s">
        <v>80</v>
      </c>
      <c r="D23" s="7" t="s">
        <v>269</v>
      </c>
      <c r="E23" s="7" t="s">
        <v>270</v>
      </c>
      <c r="F23" s="7" t="s">
        <v>271</v>
      </c>
      <c r="G23" s="7" t="s">
        <v>272</v>
      </c>
      <c r="H23" s="7" t="s">
        <v>273</v>
      </c>
      <c r="I23" s="9" t="s">
        <v>241</v>
      </c>
      <c r="J23" s="7" t="s">
        <v>274</v>
      </c>
      <c r="K23" s="7" t="s">
        <v>230</v>
      </c>
      <c r="L23" s="7" t="s">
        <v>89</v>
      </c>
      <c r="M23" s="10" t="s">
        <v>90</v>
      </c>
      <c r="N23" s="11" t="s">
        <v>142</v>
      </c>
      <c r="O23" s="7" t="s">
        <v>92</v>
      </c>
      <c r="P23" s="7" t="s">
        <v>93</v>
      </c>
      <c r="Q23" s="7" t="s">
        <v>94</v>
      </c>
      <c r="R23" s="7" t="s">
        <v>232</v>
      </c>
      <c r="S23" s="7" t="s">
        <v>233</v>
      </c>
      <c r="T23" s="7" t="s">
        <v>275</v>
      </c>
      <c r="U23" s="7" t="s">
        <v>98</v>
      </c>
      <c r="V23" s="7" t="s">
        <v>99</v>
      </c>
    </row>
    <row r="24" ht="76" customHeight="1" spans="1:22" s="7" customFormat="1" x14ac:dyDescent="0.25">
      <c r="A24" s="7">
        <v>23</v>
      </c>
      <c r="B24" s="8" t="s">
        <v>276</v>
      </c>
      <c r="C24" s="7" t="s">
        <v>80</v>
      </c>
      <c r="D24" s="7" t="s">
        <v>277</v>
      </c>
      <c r="E24" s="7" t="s">
        <v>278</v>
      </c>
      <c r="F24" s="7" t="s">
        <v>279</v>
      </c>
      <c r="G24" s="7" t="s">
        <v>272</v>
      </c>
      <c r="H24" s="7" t="s">
        <v>280</v>
      </c>
      <c r="I24" s="9" t="s">
        <v>281</v>
      </c>
      <c r="J24" s="7" t="s">
        <v>282</v>
      </c>
      <c r="K24" s="7" t="s">
        <v>88</v>
      </c>
      <c r="L24" s="7" t="s">
        <v>89</v>
      </c>
      <c r="M24" s="10" t="s">
        <v>90</v>
      </c>
      <c r="N24" s="7" t="s">
        <v>91</v>
      </c>
      <c r="O24" s="7" t="s">
        <v>92</v>
      </c>
      <c r="P24" s="7" t="s">
        <v>93</v>
      </c>
      <c r="Q24" s="7" t="s">
        <v>94</v>
      </c>
      <c r="R24" s="7" t="s">
        <v>249</v>
      </c>
      <c r="S24" s="7" t="s">
        <v>250</v>
      </c>
      <c r="T24" s="7" t="s">
        <v>283</v>
      </c>
      <c r="U24" s="7" t="s">
        <v>98</v>
      </c>
      <c r="V24" s="7" t="s">
        <v>99</v>
      </c>
    </row>
    <row r="25" ht="76" customHeight="1" spans="1:22" s="7" customFormat="1" x14ac:dyDescent="0.25">
      <c r="A25" s="7">
        <v>24</v>
      </c>
      <c r="B25" s="8" t="s">
        <v>284</v>
      </c>
      <c r="C25" s="7" t="s">
        <v>80</v>
      </c>
      <c r="D25" s="7" t="s">
        <v>285</v>
      </c>
      <c r="E25" s="7" t="s">
        <v>286</v>
      </c>
      <c r="F25" s="7" t="s">
        <v>287</v>
      </c>
      <c r="G25" s="7" t="s">
        <v>84</v>
      </c>
      <c r="H25" s="7" t="s">
        <v>288</v>
      </c>
      <c r="I25" s="9" t="s">
        <v>289</v>
      </c>
      <c r="J25" s="7" t="s">
        <v>290</v>
      </c>
      <c r="K25" s="7" t="s">
        <v>88</v>
      </c>
      <c r="L25" s="7" t="s">
        <v>291</v>
      </c>
      <c r="M25" s="10" t="s">
        <v>90</v>
      </c>
      <c r="N25" s="7" t="s">
        <v>91</v>
      </c>
      <c r="O25" s="7" t="s">
        <v>92</v>
      </c>
      <c r="P25" s="7" t="s">
        <v>93</v>
      </c>
      <c r="Q25" s="7" t="s">
        <v>94</v>
      </c>
      <c r="R25" s="7" t="s">
        <v>292</v>
      </c>
      <c r="S25" s="7" t="s">
        <v>293</v>
      </c>
      <c r="T25" s="7" t="s">
        <v>294</v>
      </c>
      <c r="U25" s="7" t="s">
        <v>98</v>
      </c>
      <c r="V25" s="7" t="s">
        <v>99</v>
      </c>
    </row>
    <row r="26" ht="76" customHeight="1" spans="1:22" s="7" customFormat="1" x14ac:dyDescent="0.25">
      <c r="A26" s="7">
        <v>25</v>
      </c>
      <c r="B26" s="8" t="s">
        <v>295</v>
      </c>
      <c r="C26" s="7" t="s">
        <v>80</v>
      </c>
      <c r="D26" s="7" t="s">
        <v>296</v>
      </c>
      <c r="E26" s="7" t="s">
        <v>297</v>
      </c>
      <c r="F26" s="7" t="s">
        <v>298</v>
      </c>
      <c r="G26" s="7" t="s">
        <v>84</v>
      </c>
      <c r="H26" s="7" t="s">
        <v>299</v>
      </c>
      <c r="I26" s="9" t="s">
        <v>300</v>
      </c>
      <c r="J26" s="7" t="s">
        <v>301</v>
      </c>
      <c r="K26" s="7" t="s">
        <v>88</v>
      </c>
      <c r="L26" s="7" t="s">
        <v>291</v>
      </c>
      <c r="M26" s="10" t="s">
        <v>90</v>
      </c>
      <c r="N26" s="7" t="s">
        <v>91</v>
      </c>
      <c r="O26" s="7" t="s">
        <v>92</v>
      </c>
      <c r="P26" s="7" t="s">
        <v>93</v>
      </c>
      <c r="Q26" s="7" t="s">
        <v>94</v>
      </c>
      <c r="R26" s="7" t="s">
        <v>292</v>
      </c>
      <c r="S26" s="7" t="s">
        <v>293</v>
      </c>
      <c r="T26" s="7" t="s">
        <v>302</v>
      </c>
      <c r="U26" s="7" t="s">
        <v>98</v>
      </c>
      <c r="V26" s="7" t="s">
        <v>99</v>
      </c>
    </row>
    <row r="27" ht="76" customHeight="1" spans="1:22" s="7" customFormat="1" x14ac:dyDescent="0.25">
      <c r="A27" s="7">
        <v>26</v>
      </c>
      <c r="B27" s="8" t="s">
        <v>303</v>
      </c>
      <c r="C27" s="7" t="s">
        <v>80</v>
      </c>
      <c r="D27" s="7" t="s">
        <v>304</v>
      </c>
      <c r="E27" s="7" t="s">
        <v>305</v>
      </c>
      <c r="F27" s="7" t="s">
        <v>306</v>
      </c>
      <c r="G27" s="7" t="s">
        <v>84</v>
      </c>
      <c r="H27" s="7" t="s">
        <v>307</v>
      </c>
      <c r="I27" s="9" t="s">
        <v>308</v>
      </c>
      <c r="J27" s="7" t="s">
        <v>309</v>
      </c>
      <c r="K27" s="7" t="s">
        <v>88</v>
      </c>
      <c r="L27" s="7" t="s">
        <v>291</v>
      </c>
      <c r="M27" s="10" t="s">
        <v>90</v>
      </c>
      <c r="N27" s="7" t="s">
        <v>91</v>
      </c>
      <c r="O27" s="7" t="s">
        <v>92</v>
      </c>
      <c r="P27" s="7" t="s">
        <v>93</v>
      </c>
      <c r="Q27" s="7" t="s">
        <v>94</v>
      </c>
      <c r="R27" s="7" t="s">
        <v>292</v>
      </c>
      <c r="S27" s="7" t="s">
        <v>293</v>
      </c>
      <c r="T27" s="7" t="s">
        <v>310</v>
      </c>
      <c r="U27" s="7" t="s">
        <v>98</v>
      </c>
      <c r="V27" s="7" t="s">
        <v>99</v>
      </c>
    </row>
    <row r="28" ht="76" customHeight="1" spans="1:22" s="7" customFormat="1" x14ac:dyDescent="0.25">
      <c r="A28" s="7">
        <v>27</v>
      </c>
      <c r="B28" s="8" t="s">
        <v>311</v>
      </c>
      <c r="C28" s="7" t="s">
        <v>80</v>
      </c>
      <c r="D28" s="7" t="s">
        <v>312</v>
      </c>
      <c r="E28" s="7" t="s">
        <v>313</v>
      </c>
      <c r="F28" s="7" t="s">
        <v>314</v>
      </c>
      <c r="G28" s="7" t="s">
        <v>84</v>
      </c>
      <c r="H28" s="7" t="s">
        <v>315</v>
      </c>
      <c r="I28" s="9" t="s">
        <v>316</v>
      </c>
      <c r="J28" s="7" t="s">
        <v>317</v>
      </c>
      <c r="K28" s="7" t="s">
        <v>88</v>
      </c>
      <c r="L28" s="7" t="s">
        <v>291</v>
      </c>
      <c r="M28" s="10" t="s">
        <v>90</v>
      </c>
      <c r="N28" s="7" t="s">
        <v>91</v>
      </c>
      <c r="O28" s="7" t="s">
        <v>92</v>
      </c>
      <c r="P28" s="7" t="s">
        <v>93</v>
      </c>
      <c r="Q28" s="7" t="s">
        <v>94</v>
      </c>
      <c r="R28" s="7" t="s">
        <v>292</v>
      </c>
      <c r="S28" s="7" t="s">
        <v>293</v>
      </c>
      <c r="T28" s="7" t="s">
        <v>318</v>
      </c>
      <c r="U28" s="7" t="s">
        <v>98</v>
      </c>
      <c r="V28" s="7" t="s">
        <v>99</v>
      </c>
    </row>
    <row r="29" ht="76" customHeight="1" spans="1:22" s="7" customFormat="1" x14ac:dyDescent="0.25">
      <c r="A29" s="7">
        <v>28</v>
      </c>
      <c r="B29" s="8" t="s">
        <v>319</v>
      </c>
      <c r="C29" s="7" t="s">
        <v>80</v>
      </c>
      <c r="D29" s="7" t="s">
        <v>320</v>
      </c>
      <c r="E29" s="7" t="s">
        <v>321</v>
      </c>
      <c r="F29" s="7" t="s">
        <v>322</v>
      </c>
      <c r="G29" s="7" t="s">
        <v>84</v>
      </c>
      <c r="H29" s="7" t="s">
        <v>323</v>
      </c>
      <c r="I29" s="9" t="s">
        <v>324</v>
      </c>
      <c r="J29" s="7" t="s">
        <v>325</v>
      </c>
      <c r="K29" s="7" t="s">
        <v>88</v>
      </c>
      <c r="L29" s="7" t="s">
        <v>291</v>
      </c>
      <c r="M29" s="10" t="s">
        <v>90</v>
      </c>
      <c r="N29" s="7" t="s">
        <v>91</v>
      </c>
      <c r="O29" s="7" t="s">
        <v>92</v>
      </c>
      <c r="P29" s="7" t="s">
        <v>93</v>
      </c>
      <c r="Q29" s="7" t="s">
        <v>94</v>
      </c>
      <c r="R29" s="7" t="s">
        <v>292</v>
      </c>
      <c r="S29" s="7" t="s">
        <v>293</v>
      </c>
      <c r="T29" s="7" t="s">
        <v>326</v>
      </c>
      <c r="U29" s="7" t="s">
        <v>98</v>
      </c>
      <c r="V29" s="7" t="s">
        <v>99</v>
      </c>
    </row>
    <row r="30" ht="76" customHeight="1" spans="1:22" s="7" customFormat="1" x14ac:dyDescent="0.25">
      <c r="A30" s="7">
        <v>29</v>
      </c>
      <c r="B30" s="8" t="s">
        <v>327</v>
      </c>
      <c r="C30" s="7" t="s">
        <v>80</v>
      </c>
      <c r="D30" s="7" t="s">
        <v>328</v>
      </c>
      <c r="E30" s="7" t="s">
        <v>329</v>
      </c>
      <c r="F30" s="7" t="s">
        <v>330</v>
      </c>
      <c r="G30" s="7" t="s">
        <v>84</v>
      </c>
      <c r="H30" s="7" t="s">
        <v>331</v>
      </c>
      <c r="I30" s="9" t="s">
        <v>332</v>
      </c>
      <c r="J30" s="7" t="s">
        <v>333</v>
      </c>
      <c r="K30" s="7" t="s">
        <v>88</v>
      </c>
      <c r="L30" s="7" t="s">
        <v>291</v>
      </c>
      <c r="M30" s="10" t="s">
        <v>90</v>
      </c>
      <c r="N30" s="11" t="s">
        <v>142</v>
      </c>
      <c r="O30" s="7" t="s">
        <v>92</v>
      </c>
      <c r="P30" s="7" t="s">
        <v>93</v>
      </c>
      <c r="Q30" s="7" t="s">
        <v>94</v>
      </c>
      <c r="R30" s="7" t="s">
        <v>292</v>
      </c>
      <c r="S30" s="7" t="s">
        <v>293</v>
      </c>
      <c r="T30" s="7" t="s">
        <v>334</v>
      </c>
      <c r="U30" s="7" t="s">
        <v>98</v>
      </c>
      <c r="V30" s="7" t="s">
        <v>99</v>
      </c>
    </row>
    <row r="31" ht="76" customHeight="1" spans="1:22" s="7" customFormat="1" x14ac:dyDescent="0.25">
      <c r="A31" s="7">
        <v>30</v>
      </c>
      <c r="B31" s="8" t="s">
        <v>335</v>
      </c>
      <c r="C31" s="7" t="s">
        <v>80</v>
      </c>
      <c r="D31" s="7" t="s">
        <v>336</v>
      </c>
      <c r="E31" s="7" t="s">
        <v>337</v>
      </c>
      <c r="F31" s="7" t="s">
        <v>338</v>
      </c>
      <c r="G31" s="7" t="s">
        <v>272</v>
      </c>
      <c r="H31" s="7" t="s">
        <v>339</v>
      </c>
      <c r="I31" s="9" t="s">
        <v>340</v>
      </c>
      <c r="J31" s="7" t="s">
        <v>341</v>
      </c>
      <c r="K31" s="7" t="s">
        <v>88</v>
      </c>
      <c r="L31" s="7" t="s">
        <v>150</v>
      </c>
      <c r="M31" s="10" t="s">
        <v>90</v>
      </c>
      <c r="N31" s="7" t="s">
        <v>91</v>
      </c>
      <c r="O31" s="7" t="s">
        <v>92</v>
      </c>
      <c r="P31" s="7" t="s">
        <v>93</v>
      </c>
      <c r="Q31" s="7" t="s">
        <v>94</v>
      </c>
      <c r="R31" s="7" t="s">
        <v>249</v>
      </c>
      <c r="S31" s="7" t="s">
        <v>250</v>
      </c>
      <c r="T31" s="7" t="s">
        <v>342</v>
      </c>
      <c r="U31" s="7" t="s">
        <v>98</v>
      </c>
      <c r="V31"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5"/>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3" customFormat="1" x14ac:dyDescent="0.25">
      <c r="A1" s="3" t="s">
        <v>59</v>
      </c>
      <c r="B1" s="3" t="s">
        <v>60</v>
      </c>
      <c r="C1" s="3" t="s">
        <v>61</v>
      </c>
      <c r="D1" s="3" t="s">
        <v>62</v>
      </c>
      <c r="E1" s="3" t="s">
        <v>63</v>
      </c>
      <c r="F1" s="3" t="s">
        <v>64</v>
      </c>
      <c r="G1" s="3" t="s">
        <v>65</v>
      </c>
      <c r="H1" s="3" t="s">
        <v>66</v>
      </c>
      <c r="I1" s="3" t="s">
        <v>343</v>
      </c>
      <c r="J1" s="3" t="s">
        <v>68</v>
      </c>
      <c r="K1" s="3" t="s">
        <v>344</v>
      </c>
      <c r="L1" s="3" t="s">
        <v>345</v>
      </c>
      <c r="M1" s="3" t="s">
        <v>71</v>
      </c>
      <c r="N1" s="3" t="s">
        <v>72</v>
      </c>
      <c r="O1" s="3" t="s">
        <v>346</v>
      </c>
      <c r="P1" s="3" t="s">
        <v>27</v>
      </c>
      <c r="Q1" s="3" t="s">
        <v>30</v>
      </c>
      <c r="R1" s="3" t="s">
        <v>347</v>
      </c>
      <c r="S1" s="3" t="s">
        <v>348</v>
      </c>
      <c r="T1" s="3" t="s">
        <v>349</v>
      </c>
      <c r="U1" s="3" t="s">
        <v>350</v>
      </c>
      <c r="V1" s="3" t="s">
        <v>351</v>
      </c>
      <c r="W1" s="3" t="s">
        <v>352</v>
      </c>
    </row>
    <row r="2" ht="76" customHeight="1" spans="1:23" s="7" customFormat="1" x14ac:dyDescent="0.25">
      <c r="A2" s="7">
        <v>1</v>
      </c>
      <c r="B2" s="8" t="s">
        <v>353</v>
      </c>
      <c r="C2" s="7" t="s">
        <v>80</v>
      </c>
      <c r="D2" s="7" t="s">
        <v>354</v>
      </c>
      <c r="E2" s="7" t="s">
        <v>355</v>
      </c>
      <c r="F2" s="7" t="s">
        <v>356</v>
      </c>
      <c r="G2" s="7" t="s">
        <v>357</v>
      </c>
      <c r="H2" s="7" t="s">
        <v>358</v>
      </c>
      <c r="I2" s="7" t="s">
        <v>359</v>
      </c>
      <c r="J2" s="7" t="s">
        <v>360</v>
      </c>
      <c r="K2" s="7" t="s">
        <v>361</v>
      </c>
      <c r="L2" s="7" t="s">
        <v>362</v>
      </c>
      <c r="M2" s="10" t="s">
        <v>90</v>
      </c>
      <c r="N2" s="7" t="s">
        <v>363</v>
      </c>
      <c r="O2" s="7" t="s">
        <v>364</v>
      </c>
      <c r="P2" s="7" t="s">
        <v>365</v>
      </c>
      <c r="Q2" s="7" t="s">
        <v>366</v>
      </c>
      <c r="R2" s="13" t="s">
        <v>367</v>
      </c>
      <c r="S2" s="13" t="s">
        <v>99</v>
      </c>
      <c r="T2" s="13" t="s">
        <v>99</v>
      </c>
      <c r="U2" s="13" t="s">
        <v>99</v>
      </c>
      <c r="V2" s="13" t="s">
        <v>99</v>
      </c>
      <c r="W2" s="13" t="s">
        <v>99</v>
      </c>
    </row>
    <row r="3" ht="76" customHeight="1" spans="1:23" s="7" customFormat="1" x14ac:dyDescent="0.25">
      <c r="A3" s="7">
        <v>2</v>
      </c>
      <c r="B3" s="8" t="s">
        <v>368</v>
      </c>
      <c r="C3" s="7" t="s">
        <v>80</v>
      </c>
      <c r="D3" s="7" t="s">
        <v>369</v>
      </c>
      <c r="E3" s="7" t="s">
        <v>370</v>
      </c>
      <c r="F3" s="7" t="s">
        <v>371</v>
      </c>
      <c r="G3" s="7" t="s">
        <v>372</v>
      </c>
      <c r="H3" s="7" t="s">
        <v>373</v>
      </c>
      <c r="I3" s="7" t="s">
        <v>374</v>
      </c>
      <c r="J3" s="7" t="s">
        <v>375</v>
      </c>
      <c r="K3" s="7" t="s">
        <v>361</v>
      </c>
      <c r="L3" s="7" t="s">
        <v>376</v>
      </c>
      <c r="M3" s="14" t="s">
        <v>377</v>
      </c>
      <c r="N3" s="7" t="s">
        <v>363</v>
      </c>
      <c r="O3" s="7" t="s">
        <v>364</v>
      </c>
      <c r="P3" s="7" t="s">
        <v>378</v>
      </c>
      <c r="Q3" s="7" t="s">
        <v>379</v>
      </c>
      <c r="R3" s="13" t="s">
        <v>367</v>
      </c>
      <c r="S3" s="13" t="s">
        <v>99</v>
      </c>
      <c r="T3" s="13" t="s">
        <v>99</v>
      </c>
      <c r="U3" s="13" t="s">
        <v>99</v>
      </c>
      <c r="V3" s="13" t="s">
        <v>99</v>
      </c>
      <c r="W3" s="13" t="s">
        <v>99</v>
      </c>
    </row>
    <row r="4" ht="76" customHeight="1" spans="1:23" s="7" customFormat="1" x14ac:dyDescent="0.25">
      <c r="A4" s="7">
        <v>3</v>
      </c>
      <c r="B4" s="8" t="s">
        <v>380</v>
      </c>
      <c r="C4" s="7" t="s">
        <v>80</v>
      </c>
      <c r="D4" s="7" t="s">
        <v>381</v>
      </c>
      <c r="E4" s="7" t="s">
        <v>382</v>
      </c>
      <c r="F4" s="7" t="s">
        <v>383</v>
      </c>
      <c r="G4" s="7" t="s">
        <v>384</v>
      </c>
      <c r="H4" s="7" t="s">
        <v>385</v>
      </c>
      <c r="I4" s="7" t="s">
        <v>386</v>
      </c>
      <c r="J4" s="7" t="s">
        <v>387</v>
      </c>
      <c r="K4" s="7" t="s">
        <v>388</v>
      </c>
      <c r="L4" s="7" t="s">
        <v>389</v>
      </c>
      <c r="M4" s="14" t="s">
        <v>377</v>
      </c>
      <c r="N4" s="7" t="s">
        <v>363</v>
      </c>
      <c r="O4" s="7" t="s">
        <v>390</v>
      </c>
      <c r="P4" s="7" t="s">
        <v>391</v>
      </c>
      <c r="Q4" s="7" t="s">
        <v>392</v>
      </c>
      <c r="R4" s="13" t="s">
        <v>367</v>
      </c>
      <c r="S4" s="13" t="s">
        <v>99</v>
      </c>
      <c r="T4" s="13" t="s">
        <v>99</v>
      </c>
      <c r="U4" s="13" t="s">
        <v>99</v>
      </c>
      <c r="V4" s="13" t="s">
        <v>99</v>
      </c>
      <c r="W4" s="13" t="s">
        <v>99</v>
      </c>
    </row>
    <row r="5" ht="76" customHeight="1" spans="1:23" s="7" customFormat="1" x14ac:dyDescent="0.25">
      <c r="A5" s="7">
        <v>4</v>
      </c>
      <c r="B5" s="8" t="s">
        <v>393</v>
      </c>
      <c r="C5" s="7" t="s">
        <v>80</v>
      </c>
      <c r="D5" s="7" t="s">
        <v>394</v>
      </c>
      <c r="E5" s="7" t="s">
        <v>395</v>
      </c>
      <c r="F5" s="7" t="s">
        <v>396</v>
      </c>
      <c r="G5" s="7" t="s">
        <v>397</v>
      </c>
      <c r="H5" s="7" t="s">
        <v>398</v>
      </c>
      <c r="I5" s="7" t="s">
        <v>399</v>
      </c>
      <c r="J5" s="7" t="s">
        <v>400</v>
      </c>
      <c r="K5" s="7" t="s">
        <v>401</v>
      </c>
      <c r="L5" s="7" t="s">
        <v>402</v>
      </c>
      <c r="M5" s="10" t="s">
        <v>90</v>
      </c>
      <c r="N5" s="7" t="s">
        <v>91</v>
      </c>
      <c r="O5" s="7" t="s">
        <v>364</v>
      </c>
      <c r="P5" s="7" t="s">
        <v>403</v>
      </c>
      <c r="Q5" s="7" t="s">
        <v>404</v>
      </c>
      <c r="R5" s="13" t="s">
        <v>367</v>
      </c>
      <c r="S5" s="13" t="s">
        <v>99</v>
      </c>
      <c r="T5" s="13" t="s">
        <v>99</v>
      </c>
      <c r="U5" s="13" t="s">
        <v>99</v>
      </c>
      <c r="V5" s="13" t="s">
        <v>99</v>
      </c>
      <c r="W5" s="13" t="s">
        <v>99</v>
      </c>
    </row>
    <row r="6" ht="76" customHeight="1" spans="1:23" s="7" customFormat="1" x14ac:dyDescent="0.25">
      <c r="A6" s="7">
        <v>5</v>
      </c>
      <c r="B6" s="8" t="s">
        <v>405</v>
      </c>
      <c r="C6" s="7" t="s">
        <v>80</v>
      </c>
      <c r="D6" s="7" t="s">
        <v>406</v>
      </c>
      <c r="E6" s="7" t="s">
        <v>407</v>
      </c>
      <c r="F6" s="7" t="s">
        <v>408</v>
      </c>
      <c r="G6" s="7" t="s">
        <v>409</v>
      </c>
      <c r="H6" s="7" t="s">
        <v>410</v>
      </c>
      <c r="I6" s="7" t="s">
        <v>411</v>
      </c>
      <c r="J6" s="7" t="s">
        <v>412</v>
      </c>
      <c r="K6" s="7" t="s">
        <v>413</v>
      </c>
      <c r="L6" s="7" t="s">
        <v>414</v>
      </c>
      <c r="M6" s="10" t="s">
        <v>90</v>
      </c>
      <c r="N6" s="7" t="s">
        <v>363</v>
      </c>
      <c r="O6" s="7" t="s">
        <v>364</v>
      </c>
      <c r="P6" s="7" t="s">
        <v>403</v>
      </c>
      <c r="Q6" s="7" t="s">
        <v>415</v>
      </c>
      <c r="R6" s="13" t="s">
        <v>367</v>
      </c>
      <c r="S6" s="13" t="s">
        <v>99</v>
      </c>
      <c r="T6" s="13" t="s">
        <v>99</v>
      </c>
      <c r="U6" s="13" t="s">
        <v>99</v>
      </c>
      <c r="V6" s="13" t="s">
        <v>99</v>
      </c>
      <c r="W6" s="13" t="s">
        <v>99</v>
      </c>
    </row>
    <row r="7" ht="76" customHeight="1" spans="1:23" s="7" customFormat="1" x14ac:dyDescent="0.25">
      <c r="A7" s="7">
        <v>6</v>
      </c>
      <c r="B7" s="8" t="s">
        <v>416</v>
      </c>
      <c r="C7" s="7" t="s">
        <v>80</v>
      </c>
      <c r="D7" s="7" t="s">
        <v>417</v>
      </c>
      <c r="E7" s="7" t="s">
        <v>418</v>
      </c>
      <c r="F7" s="7" t="s">
        <v>419</v>
      </c>
      <c r="G7" s="7" t="s">
        <v>420</v>
      </c>
      <c r="H7" s="7" t="s">
        <v>421</v>
      </c>
      <c r="I7" s="7" t="s">
        <v>422</v>
      </c>
      <c r="J7" s="7" t="s">
        <v>423</v>
      </c>
      <c r="K7" s="7" t="s">
        <v>424</v>
      </c>
      <c r="L7" s="7" t="s">
        <v>425</v>
      </c>
      <c r="M7" s="10" t="s">
        <v>90</v>
      </c>
      <c r="N7" s="7" t="s">
        <v>91</v>
      </c>
      <c r="O7" s="7" t="s">
        <v>364</v>
      </c>
      <c r="P7" s="7" t="s">
        <v>403</v>
      </c>
      <c r="Q7" s="7" t="s">
        <v>426</v>
      </c>
      <c r="R7" s="13" t="s">
        <v>367</v>
      </c>
      <c r="S7" s="13" t="s">
        <v>99</v>
      </c>
      <c r="T7" s="13" t="s">
        <v>99</v>
      </c>
      <c r="U7" s="13" t="s">
        <v>99</v>
      </c>
      <c r="V7" s="13" t="s">
        <v>99</v>
      </c>
      <c r="W7" s="13" t="s">
        <v>99</v>
      </c>
    </row>
    <row r="8" ht="76" customHeight="1" spans="1:23" s="7" customFormat="1" x14ac:dyDescent="0.25">
      <c r="A8" s="7">
        <v>7</v>
      </c>
      <c r="B8" s="8" t="s">
        <v>427</v>
      </c>
      <c r="C8" s="7" t="s">
        <v>80</v>
      </c>
      <c r="D8" s="7" t="s">
        <v>428</v>
      </c>
      <c r="E8" s="7" t="s">
        <v>429</v>
      </c>
      <c r="F8" s="7" t="s">
        <v>430</v>
      </c>
      <c r="G8" s="7" t="s">
        <v>431</v>
      </c>
      <c r="H8" s="7" t="s">
        <v>432</v>
      </c>
      <c r="I8" s="7" t="s">
        <v>433</v>
      </c>
      <c r="J8" s="7" t="s">
        <v>434</v>
      </c>
      <c r="K8" s="7" t="s">
        <v>435</v>
      </c>
      <c r="L8" s="7" t="s">
        <v>436</v>
      </c>
      <c r="M8" s="10" t="s">
        <v>90</v>
      </c>
      <c r="N8" s="7" t="s">
        <v>91</v>
      </c>
      <c r="O8" s="7" t="s">
        <v>390</v>
      </c>
      <c r="P8" s="7" t="s">
        <v>403</v>
      </c>
      <c r="Q8" s="7" t="s">
        <v>437</v>
      </c>
      <c r="R8" s="13" t="s">
        <v>367</v>
      </c>
      <c r="S8" s="13" t="s">
        <v>99</v>
      </c>
      <c r="T8" s="13" t="s">
        <v>99</v>
      </c>
      <c r="U8" s="13" t="s">
        <v>99</v>
      </c>
      <c r="V8" s="13" t="s">
        <v>99</v>
      </c>
      <c r="W8" s="13" t="s">
        <v>99</v>
      </c>
    </row>
    <row r="9" ht="76" customHeight="1" spans="1:23" s="7" customFormat="1" x14ac:dyDescent="0.25">
      <c r="A9" s="7">
        <v>8</v>
      </c>
      <c r="B9" s="8" t="s">
        <v>438</v>
      </c>
      <c r="C9" s="7" t="s">
        <v>80</v>
      </c>
      <c r="D9" s="7" t="s">
        <v>439</v>
      </c>
      <c r="E9" s="7" t="s">
        <v>440</v>
      </c>
      <c r="F9" s="7" t="s">
        <v>441</v>
      </c>
      <c r="G9" s="7" t="s">
        <v>442</v>
      </c>
      <c r="H9" s="7" t="s">
        <v>443</v>
      </c>
      <c r="I9" s="7" t="s">
        <v>444</v>
      </c>
      <c r="J9" s="7" t="s">
        <v>445</v>
      </c>
      <c r="K9" s="7" t="s">
        <v>446</v>
      </c>
      <c r="L9" s="7" t="s">
        <v>447</v>
      </c>
      <c r="M9" s="10" t="s">
        <v>90</v>
      </c>
      <c r="N9" s="7" t="s">
        <v>363</v>
      </c>
      <c r="O9" s="7" t="s">
        <v>390</v>
      </c>
      <c r="P9" s="7" t="s">
        <v>365</v>
      </c>
      <c r="Q9" s="7" t="s">
        <v>448</v>
      </c>
      <c r="R9" s="13" t="s">
        <v>367</v>
      </c>
      <c r="S9" s="13" t="s">
        <v>99</v>
      </c>
      <c r="T9" s="13" t="s">
        <v>99</v>
      </c>
      <c r="U9" s="13" t="s">
        <v>99</v>
      </c>
      <c r="V9" s="13" t="s">
        <v>99</v>
      </c>
      <c r="W9" s="13" t="s">
        <v>99</v>
      </c>
    </row>
    <row r="10" ht="76" customHeight="1" spans="1:23" s="7" customFormat="1" x14ac:dyDescent="0.25">
      <c r="A10" s="7">
        <v>9</v>
      </c>
      <c r="B10" s="8" t="s">
        <v>449</v>
      </c>
      <c r="C10" s="7" t="s">
        <v>80</v>
      </c>
      <c r="D10" s="7" t="s">
        <v>450</v>
      </c>
      <c r="E10" s="7" t="s">
        <v>451</v>
      </c>
      <c r="F10" s="7" t="s">
        <v>452</v>
      </c>
      <c r="G10" s="7" t="s">
        <v>453</v>
      </c>
      <c r="H10" s="7" t="s">
        <v>454</v>
      </c>
      <c r="I10" s="7" t="s">
        <v>455</v>
      </c>
      <c r="J10" s="7" t="s">
        <v>456</v>
      </c>
      <c r="K10" s="7" t="s">
        <v>446</v>
      </c>
      <c r="L10" s="7" t="s">
        <v>457</v>
      </c>
      <c r="M10" s="10" t="s">
        <v>90</v>
      </c>
      <c r="N10" s="7" t="s">
        <v>363</v>
      </c>
      <c r="O10" s="7" t="s">
        <v>364</v>
      </c>
      <c r="P10" s="7" t="s">
        <v>378</v>
      </c>
      <c r="Q10" s="7" t="s">
        <v>458</v>
      </c>
      <c r="R10" s="13" t="s">
        <v>367</v>
      </c>
      <c r="S10" s="13" t="s">
        <v>99</v>
      </c>
      <c r="T10" s="13" t="s">
        <v>99</v>
      </c>
      <c r="U10" s="13" t="s">
        <v>99</v>
      </c>
      <c r="V10" s="13" t="s">
        <v>99</v>
      </c>
      <c r="W10" s="13" t="s">
        <v>99</v>
      </c>
    </row>
    <row r="11" ht="76" customHeight="1" spans="1:23" s="7" customFormat="1" x14ac:dyDescent="0.25">
      <c r="A11" s="7">
        <v>10</v>
      </c>
      <c r="B11" s="8" t="s">
        <v>459</v>
      </c>
      <c r="C11" s="7" t="s">
        <v>80</v>
      </c>
      <c r="D11" s="7" t="s">
        <v>460</v>
      </c>
      <c r="E11" s="7" t="s">
        <v>461</v>
      </c>
      <c r="F11" s="7" t="s">
        <v>462</v>
      </c>
      <c r="G11" s="7" t="s">
        <v>463</v>
      </c>
      <c r="H11" s="7" t="s">
        <v>464</v>
      </c>
      <c r="I11" s="7" t="s">
        <v>465</v>
      </c>
      <c r="J11" s="7" t="s">
        <v>466</v>
      </c>
      <c r="K11" s="7" t="s">
        <v>467</v>
      </c>
      <c r="L11" s="7" t="s">
        <v>468</v>
      </c>
      <c r="M11" s="10" t="s">
        <v>90</v>
      </c>
      <c r="N11" s="7" t="s">
        <v>91</v>
      </c>
      <c r="O11" s="7" t="s">
        <v>390</v>
      </c>
      <c r="P11" s="7" t="s">
        <v>403</v>
      </c>
      <c r="Q11" s="7" t="s">
        <v>469</v>
      </c>
      <c r="R11" s="13" t="s">
        <v>367</v>
      </c>
      <c r="S11" s="13" t="s">
        <v>99</v>
      </c>
      <c r="T11" s="13" t="s">
        <v>99</v>
      </c>
      <c r="U11" s="13" t="s">
        <v>99</v>
      </c>
      <c r="V11" s="13" t="s">
        <v>99</v>
      </c>
      <c r="W11" s="13" t="s">
        <v>99</v>
      </c>
    </row>
    <row r="12" ht="76" customHeight="1" spans="1:23" s="7" customFormat="1" x14ac:dyDescent="0.25">
      <c r="A12" s="7">
        <v>11</v>
      </c>
      <c r="B12" s="8" t="s">
        <v>470</v>
      </c>
      <c r="C12" s="7" t="s">
        <v>80</v>
      </c>
      <c r="D12" s="7" t="s">
        <v>471</v>
      </c>
      <c r="E12" s="7" t="s">
        <v>472</v>
      </c>
      <c r="F12" s="7" t="s">
        <v>473</v>
      </c>
      <c r="G12" s="7" t="s">
        <v>474</v>
      </c>
      <c r="H12" s="7" t="s">
        <v>475</v>
      </c>
      <c r="I12" s="7" t="s">
        <v>476</v>
      </c>
      <c r="J12" s="7" t="s">
        <v>477</v>
      </c>
      <c r="K12" s="7" t="s">
        <v>478</v>
      </c>
      <c r="L12" s="7" t="s">
        <v>479</v>
      </c>
      <c r="M12" s="10" t="s">
        <v>90</v>
      </c>
      <c r="N12" s="7" t="s">
        <v>91</v>
      </c>
      <c r="O12" s="7" t="s">
        <v>364</v>
      </c>
      <c r="P12" s="7" t="s">
        <v>378</v>
      </c>
      <c r="Q12" s="7" t="s">
        <v>480</v>
      </c>
      <c r="R12" s="13" t="s">
        <v>367</v>
      </c>
      <c r="S12" s="13" t="s">
        <v>99</v>
      </c>
      <c r="T12" s="13" t="s">
        <v>99</v>
      </c>
      <c r="U12" s="13" t="s">
        <v>99</v>
      </c>
      <c r="V12" s="13" t="s">
        <v>99</v>
      </c>
      <c r="W12" s="13" t="s">
        <v>99</v>
      </c>
    </row>
    <row r="13" ht="76" customHeight="1" spans="1:23" s="7" customFormat="1" x14ac:dyDescent="0.25">
      <c r="A13" s="7">
        <v>12</v>
      </c>
      <c r="B13" s="8" t="s">
        <v>481</v>
      </c>
      <c r="C13" s="7" t="s">
        <v>80</v>
      </c>
      <c r="D13" s="7" t="s">
        <v>482</v>
      </c>
      <c r="E13" s="7" t="s">
        <v>483</v>
      </c>
      <c r="F13" s="7" t="s">
        <v>484</v>
      </c>
      <c r="G13" s="7" t="s">
        <v>485</v>
      </c>
      <c r="H13" s="7" t="s">
        <v>486</v>
      </c>
      <c r="I13" s="7" t="s">
        <v>487</v>
      </c>
      <c r="J13" s="7" t="s">
        <v>488</v>
      </c>
      <c r="K13" s="7" t="s">
        <v>489</v>
      </c>
      <c r="L13" s="7" t="s">
        <v>490</v>
      </c>
      <c r="M13" s="10" t="s">
        <v>90</v>
      </c>
      <c r="N13" s="7" t="s">
        <v>91</v>
      </c>
      <c r="O13" s="7" t="s">
        <v>364</v>
      </c>
      <c r="P13" s="7" t="s">
        <v>391</v>
      </c>
      <c r="Q13" s="7" t="s">
        <v>491</v>
      </c>
      <c r="R13" s="13" t="s">
        <v>367</v>
      </c>
      <c r="S13" s="13" t="s">
        <v>99</v>
      </c>
      <c r="T13" s="13" t="s">
        <v>99</v>
      </c>
      <c r="U13" s="13" t="s">
        <v>99</v>
      </c>
      <c r="V13" s="13" t="s">
        <v>99</v>
      </c>
      <c r="W13" s="13" t="s">
        <v>99</v>
      </c>
    </row>
    <row r="14" ht="76" customHeight="1" spans="1:23" s="7" customFormat="1" x14ac:dyDescent="0.25">
      <c r="A14" s="7">
        <v>13</v>
      </c>
      <c r="B14" s="8" t="s">
        <v>492</v>
      </c>
      <c r="C14" s="7" t="s">
        <v>80</v>
      </c>
      <c r="D14" s="7" t="s">
        <v>493</v>
      </c>
      <c r="E14" s="7" t="s">
        <v>494</v>
      </c>
      <c r="F14" s="7" t="s">
        <v>495</v>
      </c>
      <c r="G14" s="7" t="s">
        <v>496</v>
      </c>
      <c r="H14" s="7" t="s">
        <v>497</v>
      </c>
      <c r="I14" s="7" t="s">
        <v>498</v>
      </c>
      <c r="J14" s="7" t="s">
        <v>499</v>
      </c>
      <c r="K14" s="7" t="s">
        <v>500</v>
      </c>
      <c r="L14" s="7" t="s">
        <v>501</v>
      </c>
      <c r="M14" s="10" t="s">
        <v>90</v>
      </c>
      <c r="N14" s="7" t="s">
        <v>91</v>
      </c>
      <c r="O14" s="7" t="s">
        <v>364</v>
      </c>
      <c r="P14" s="7" t="s">
        <v>403</v>
      </c>
      <c r="Q14" s="7" t="s">
        <v>502</v>
      </c>
      <c r="R14" s="13" t="s">
        <v>367</v>
      </c>
      <c r="S14" s="13" t="s">
        <v>99</v>
      </c>
      <c r="T14" s="13" t="s">
        <v>99</v>
      </c>
      <c r="U14" s="13" t="s">
        <v>99</v>
      </c>
      <c r="V14" s="13" t="s">
        <v>99</v>
      </c>
      <c r="W14" s="13" t="s">
        <v>99</v>
      </c>
    </row>
    <row r="15" ht="76" customHeight="1" spans="1:23" s="7" customFormat="1" x14ac:dyDescent="0.25">
      <c r="A15" s="7">
        <v>14</v>
      </c>
      <c r="B15" s="8" t="s">
        <v>503</v>
      </c>
      <c r="C15" s="7" t="s">
        <v>80</v>
      </c>
      <c r="D15" s="7" t="s">
        <v>504</v>
      </c>
      <c r="E15" s="7" t="s">
        <v>505</v>
      </c>
      <c r="F15" s="7" t="s">
        <v>506</v>
      </c>
      <c r="G15" s="7" t="s">
        <v>507</v>
      </c>
      <c r="H15" s="7" t="s">
        <v>508</v>
      </c>
      <c r="I15" s="7" t="s">
        <v>509</v>
      </c>
      <c r="J15" s="7" t="s">
        <v>510</v>
      </c>
      <c r="K15" s="7" t="s">
        <v>511</v>
      </c>
      <c r="L15" s="7" t="s">
        <v>512</v>
      </c>
      <c r="M15" s="10" t="s">
        <v>90</v>
      </c>
      <c r="N15" s="7" t="s">
        <v>91</v>
      </c>
      <c r="O15" s="7" t="s">
        <v>364</v>
      </c>
      <c r="P15" s="7" t="s">
        <v>403</v>
      </c>
      <c r="Q15" s="7" t="s">
        <v>513</v>
      </c>
      <c r="R15" s="13" t="s">
        <v>367</v>
      </c>
      <c r="S15" s="13" t="s">
        <v>99</v>
      </c>
      <c r="T15" s="13" t="s">
        <v>99</v>
      </c>
      <c r="U15" s="13" t="s">
        <v>99</v>
      </c>
      <c r="V15" s="13" t="s">
        <v>99</v>
      </c>
      <c r="W15" s="13" t="s">
        <v>99</v>
      </c>
    </row>
    <row r="16" ht="76" customHeight="1" spans="1:23" s="7" customFormat="1" x14ac:dyDescent="0.25">
      <c r="A16" s="7">
        <v>15</v>
      </c>
      <c r="B16" s="8" t="s">
        <v>514</v>
      </c>
      <c r="C16" s="7" t="s">
        <v>80</v>
      </c>
      <c r="D16" s="7" t="s">
        <v>515</v>
      </c>
      <c r="E16" s="7" t="s">
        <v>516</v>
      </c>
      <c r="F16" s="7" t="s">
        <v>517</v>
      </c>
      <c r="G16" s="7" t="s">
        <v>518</v>
      </c>
      <c r="H16" s="7" t="s">
        <v>519</v>
      </c>
      <c r="I16" s="7" t="s">
        <v>520</v>
      </c>
      <c r="J16" s="7" t="s">
        <v>521</v>
      </c>
      <c r="K16" s="7" t="s">
        <v>401</v>
      </c>
      <c r="L16" s="7" t="s">
        <v>522</v>
      </c>
      <c r="M16" s="10" t="s">
        <v>90</v>
      </c>
      <c r="N16" s="7" t="s">
        <v>91</v>
      </c>
      <c r="O16" s="7" t="s">
        <v>364</v>
      </c>
      <c r="P16" s="7" t="s">
        <v>403</v>
      </c>
      <c r="Q16" s="7" t="s">
        <v>404</v>
      </c>
      <c r="R16" s="13" t="s">
        <v>367</v>
      </c>
      <c r="S16" s="13" t="s">
        <v>99</v>
      </c>
      <c r="T16" s="13" t="s">
        <v>99</v>
      </c>
      <c r="U16" s="13" t="s">
        <v>99</v>
      </c>
      <c r="V16" s="13" t="s">
        <v>99</v>
      </c>
      <c r="W16" s="13" t="s">
        <v>99</v>
      </c>
    </row>
    <row r="17" ht="76" customHeight="1" spans="1:23" s="7" customFormat="1" x14ac:dyDescent="0.25">
      <c r="A17" s="7">
        <v>16</v>
      </c>
      <c r="B17" s="8" t="s">
        <v>523</v>
      </c>
      <c r="C17" s="7" t="s">
        <v>80</v>
      </c>
      <c r="D17" s="7" t="s">
        <v>524</v>
      </c>
      <c r="E17" s="7" t="s">
        <v>525</v>
      </c>
      <c r="F17" s="7" t="s">
        <v>526</v>
      </c>
      <c r="G17" s="7" t="s">
        <v>485</v>
      </c>
      <c r="H17" s="7" t="s">
        <v>527</v>
      </c>
      <c r="I17" s="7" t="s">
        <v>528</v>
      </c>
      <c r="J17" s="7" t="s">
        <v>529</v>
      </c>
      <c r="K17" s="7" t="s">
        <v>424</v>
      </c>
      <c r="L17" s="7" t="s">
        <v>530</v>
      </c>
      <c r="M17" s="10" t="s">
        <v>90</v>
      </c>
      <c r="N17" s="11" t="s">
        <v>142</v>
      </c>
      <c r="O17" s="7" t="s">
        <v>364</v>
      </c>
      <c r="P17" s="7" t="s">
        <v>403</v>
      </c>
      <c r="Q17" s="7" t="s">
        <v>426</v>
      </c>
      <c r="R17" s="13" t="s">
        <v>367</v>
      </c>
      <c r="S17" s="13" t="s">
        <v>99</v>
      </c>
      <c r="T17" s="13" t="s">
        <v>99</v>
      </c>
      <c r="U17" s="13" t="s">
        <v>99</v>
      </c>
      <c r="V17" s="13" t="s">
        <v>99</v>
      </c>
      <c r="W17" s="13" t="s">
        <v>99</v>
      </c>
    </row>
    <row r="18" ht="76" customHeight="1" spans="1:23" s="7" customFormat="1" x14ac:dyDescent="0.25">
      <c r="A18" s="7">
        <v>17</v>
      </c>
      <c r="B18" s="8" t="s">
        <v>531</v>
      </c>
      <c r="C18" s="7" t="s">
        <v>80</v>
      </c>
      <c r="D18" s="7" t="s">
        <v>532</v>
      </c>
      <c r="E18" s="7" t="s">
        <v>533</v>
      </c>
      <c r="F18" s="7" t="s">
        <v>534</v>
      </c>
      <c r="G18" s="7" t="s">
        <v>535</v>
      </c>
      <c r="H18" s="7" t="s">
        <v>536</v>
      </c>
      <c r="I18" s="7" t="s">
        <v>537</v>
      </c>
      <c r="J18" s="7" t="s">
        <v>538</v>
      </c>
      <c r="K18" s="7" t="s">
        <v>539</v>
      </c>
      <c r="L18" s="7" t="s">
        <v>540</v>
      </c>
      <c r="M18" s="10" t="s">
        <v>90</v>
      </c>
      <c r="N18" s="7" t="s">
        <v>91</v>
      </c>
      <c r="O18" s="7" t="s">
        <v>364</v>
      </c>
      <c r="P18" s="7" t="s">
        <v>403</v>
      </c>
      <c r="Q18" s="7" t="s">
        <v>541</v>
      </c>
      <c r="R18" s="13" t="s">
        <v>367</v>
      </c>
      <c r="S18" s="13" t="s">
        <v>99</v>
      </c>
      <c r="T18" s="13" t="s">
        <v>99</v>
      </c>
      <c r="U18" s="13" t="s">
        <v>99</v>
      </c>
      <c r="V18" s="13" t="s">
        <v>99</v>
      </c>
      <c r="W18" s="13" t="s">
        <v>99</v>
      </c>
    </row>
    <row r="19" ht="76" customHeight="1" spans="1:23" s="7" customFormat="1" x14ac:dyDescent="0.25">
      <c r="A19" s="7">
        <v>18</v>
      </c>
      <c r="B19" s="8" t="s">
        <v>542</v>
      </c>
      <c r="C19" s="7" t="s">
        <v>80</v>
      </c>
      <c r="D19" s="7" t="s">
        <v>543</v>
      </c>
      <c r="E19" s="7" t="s">
        <v>544</v>
      </c>
      <c r="F19" s="7" t="s">
        <v>545</v>
      </c>
      <c r="G19" s="7" t="s">
        <v>546</v>
      </c>
      <c r="H19" s="7" t="s">
        <v>547</v>
      </c>
      <c r="I19" s="7" t="s">
        <v>548</v>
      </c>
      <c r="J19" s="7" t="s">
        <v>549</v>
      </c>
      <c r="K19" s="7" t="s">
        <v>413</v>
      </c>
      <c r="L19" s="7" t="s">
        <v>550</v>
      </c>
      <c r="M19" s="10" t="s">
        <v>90</v>
      </c>
      <c r="N19" s="7" t="s">
        <v>91</v>
      </c>
      <c r="O19" s="7" t="s">
        <v>364</v>
      </c>
      <c r="P19" s="7" t="s">
        <v>378</v>
      </c>
      <c r="Q19" s="7" t="s">
        <v>551</v>
      </c>
      <c r="R19" s="13" t="s">
        <v>367</v>
      </c>
      <c r="S19" s="13" t="s">
        <v>99</v>
      </c>
      <c r="T19" s="13" t="s">
        <v>99</v>
      </c>
      <c r="U19" s="13" t="s">
        <v>99</v>
      </c>
      <c r="V19" s="13" t="s">
        <v>99</v>
      </c>
      <c r="W19" s="13" t="s">
        <v>99</v>
      </c>
    </row>
    <row r="20" ht="76" customHeight="1" spans="1:23" s="7" customFormat="1" x14ac:dyDescent="0.25">
      <c r="A20" s="7">
        <v>19</v>
      </c>
      <c r="B20" s="8" t="s">
        <v>552</v>
      </c>
      <c r="C20" s="7" t="s">
        <v>80</v>
      </c>
      <c r="D20" s="7" t="s">
        <v>553</v>
      </c>
      <c r="E20" s="7" t="s">
        <v>554</v>
      </c>
      <c r="F20" s="7" t="s">
        <v>555</v>
      </c>
      <c r="G20" s="7" t="s">
        <v>556</v>
      </c>
      <c r="H20" s="7" t="s">
        <v>557</v>
      </c>
      <c r="I20" s="7" t="s">
        <v>558</v>
      </c>
      <c r="J20" s="7" t="s">
        <v>559</v>
      </c>
      <c r="K20" s="7" t="s">
        <v>500</v>
      </c>
      <c r="L20" s="7" t="s">
        <v>560</v>
      </c>
      <c r="M20" s="14" t="s">
        <v>377</v>
      </c>
      <c r="N20" s="7" t="s">
        <v>363</v>
      </c>
      <c r="O20" s="7" t="s">
        <v>390</v>
      </c>
      <c r="P20" s="7" t="s">
        <v>391</v>
      </c>
      <c r="Q20" s="7" t="s">
        <v>561</v>
      </c>
      <c r="R20" s="13" t="s">
        <v>367</v>
      </c>
      <c r="S20" s="13" t="s">
        <v>99</v>
      </c>
      <c r="T20" s="13" t="s">
        <v>99</v>
      </c>
      <c r="U20" s="13" t="s">
        <v>99</v>
      </c>
      <c r="V20" s="13" t="s">
        <v>99</v>
      </c>
      <c r="W20" s="13" t="s">
        <v>99</v>
      </c>
    </row>
    <row r="21" ht="76" customHeight="1" spans="1:23" s="7" customFormat="1" x14ac:dyDescent="0.25">
      <c r="A21" s="7">
        <v>20</v>
      </c>
      <c r="B21" s="8" t="s">
        <v>562</v>
      </c>
      <c r="C21" s="7" t="s">
        <v>80</v>
      </c>
      <c r="D21" s="7" t="s">
        <v>563</v>
      </c>
      <c r="E21" s="7" t="s">
        <v>564</v>
      </c>
      <c r="F21" s="7" t="s">
        <v>565</v>
      </c>
      <c r="G21" s="7" t="s">
        <v>566</v>
      </c>
      <c r="H21" s="7" t="s">
        <v>567</v>
      </c>
      <c r="I21" s="7" t="s">
        <v>568</v>
      </c>
      <c r="J21" s="7" t="s">
        <v>569</v>
      </c>
      <c r="K21" s="7" t="s">
        <v>570</v>
      </c>
      <c r="L21" s="7" t="s">
        <v>571</v>
      </c>
      <c r="M21" s="10" t="s">
        <v>90</v>
      </c>
      <c r="N21" s="7" t="s">
        <v>91</v>
      </c>
      <c r="O21" s="7" t="s">
        <v>364</v>
      </c>
      <c r="P21" s="7" t="s">
        <v>378</v>
      </c>
      <c r="Q21" s="7" t="s">
        <v>572</v>
      </c>
      <c r="R21" s="13" t="s">
        <v>367</v>
      </c>
      <c r="S21" s="13" t="s">
        <v>99</v>
      </c>
      <c r="T21" s="13" t="s">
        <v>99</v>
      </c>
      <c r="U21" s="13" t="s">
        <v>99</v>
      </c>
      <c r="V21" s="13" t="s">
        <v>99</v>
      </c>
      <c r="W21" s="13" t="s">
        <v>99</v>
      </c>
    </row>
    <row r="22" ht="76" customHeight="1" spans="1:23" s="7" customFormat="1" x14ac:dyDescent="0.25">
      <c r="A22" s="7">
        <v>21</v>
      </c>
      <c r="B22" s="8" t="s">
        <v>573</v>
      </c>
      <c r="C22" s="7" t="s">
        <v>80</v>
      </c>
      <c r="D22" s="7" t="s">
        <v>574</v>
      </c>
      <c r="E22" s="7" t="s">
        <v>575</v>
      </c>
      <c r="F22" s="7" t="s">
        <v>576</v>
      </c>
      <c r="G22" s="7" t="s">
        <v>577</v>
      </c>
      <c r="H22" s="7" t="s">
        <v>578</v>
      </c>
      <c r="I22" s="7" t="s">
        <v>579</v>
      </c>
      <c r="J22" s="7" t="s">
        <v>580</v>
      </c>
      <c r="K22" s="7" t="s">
        <v>581</v>
      </c>
      <c r="L22" s="7" t="s">
        <v>582</v>
      </c>
      <c r="M22" s="10" t="s">
        <v>90</v>
      </c>
      <c r="N22" s="7" t="s">
        <v>91</v>
      </c>
      <c r="O22" s="7" t="s">
        <v>364</v>
      </c>
      <c r="P22" s="7" t="s">
        <v>391</v>
      </c>
      <c r="Q22" s="7" t="s">
        <v>583</v>
      </c>
      <c r="R22" s="13" t="s">
        <v>367</v>
      </c>
      <c r="S22" s="13" t="s">
        <v>99</v>
      </c>
      <c r="T22" s="13" t="s">
        <v>99</v>
      </c>
      <c r="U22" s="13" t="s">
        <v>99</v>
      </c>
      <c r="V22" s="13" t="s">
        <v>99</v>
      </c>
      <c r="W22" s="13" t="s">
        <v>99</v>
      </c>
    </row>
    <row r="23" ht="76" customHeight="1" spans="1:23" s="7" customFormat="1" x14ac:dyDescent="0.25">
      <c r="A23" s="7">
        <v>22</v>
      </c>
      <c r="B23" s="8" t="s">
        <v>584</v>
      </c>
      <c r="C23" s="7" t="s">
        <v>80</v>
      </c>
      <c r="D23" s="7" t="s">
        <v>585</v>
      </c>
      <c r="E23" s="7" t="s">
        <v>586</v>
      </c>
      <c r="F23" s="7" t="s">
        <v>587</v>
      </c>
      <c r="G23" s="7" t="s">
        <v>588</v>
      </c>
      <c r="H23" s="7" t="s">
        <v>589</v>
      </c>
      <c r="I23" s="7" t="s">
        <v>590</v>
      </c>
      <c r="J23" s="7" t="s">
        <v>591</v>
      </c>
      <c r="K23" s="7" t="s">
        <v>500</v>
      </c>
      <c r="L23" s="7" t="s">
        <v>592</v>
      </c>
      <c r="M23" s="10" t="s">
        <v>90</v>
      </c>
      <c r="N23" s="7" t="s">
        <v>91</v>
      </c>
      <c r="O23" s="7" t="s">
        <v>390</v>
      </c>
      <c r="P23" s="7" t="s">
        <v>365</v>
      </c>
      <c r="Q23" s="7" t="s">
        <v>593</v>
      </c>
      <c r="R23" s="13" t="s">
        <v>367</v>
      </c>
      <c r="S23" s="13" t="s">
        <v>99</v>
      </c>
      <c r="T23" s="13" t="s">
        <v>99</v>
      </c>
      <c r="U23" s="13" t="s">
        <v>99</v>
      </c>
      <c r="V23" s="13" t="s">
        <v>99</v>
      </c>
      <c r="W23" s="13" t="s">
        <v>99</v>
      </c>
    </row>
    <row r="24" ht="76" customHeight="1" spans="1:23" s="7" customFormat="1" x14ac:dyDescent="0.25">
      <c r="A24" s="7">
        <v>23</v>
      </c>
      <c r="B24" s="8" t="s">
        <v>594</v>
      </c>
      <c r="C24" s="7" t="s">
        <v>80</v>
      </c>
      <c r="D24" s="7" t="s">
        <v>595</v>
      </c>
      <c r="E24" s="7" t="s">
        <v>596</v>
      </c>
      <c r="F24" s="7" t="s">
        <v>597</v>
      </c>
      <c r="G24" s="7" t="s">
        <v>598</v>
      </c>
      <c r="H24" s="7" t="s">
        <v>599</v>
      </c>
      <c r="I24" s="7" t="s">
        <v>600</v>
      </c>
      <c r="J24" s="7" t="s">
        <v>601</v>
      </c>
      <c r="K24" s="7" t="s">
        <v>602</v>
      </c>
      <c r="L24" s="7" t="s">
        <v>603</v>
      </c>
      <c r="M24" s="10" t="s">
        <v>90</v>
      </c>
      <c r="N24" s="7" t="s">
        <v>91</v>
      </c>
      <c r="O24" s="7" t="s">
        <v>364</v>
      </c>
      <c r="P24" s="7" t="s">
        <v>378</v>
      </c>
      <c r="Q24" s="7" t="s">
        <v>604</v>
      </c>
      <c r="R24" s="13" t="s">
        <v>367</v>
      </c>
      <c r="S24" s="13" t="s">
        <v>99</v>
      </c>
      <c r="T24" s="13" t="s">
        <v>99</v>
      </c>
      <c r="U24" s="13" t="s">
        <v>99</v>
      </c>
      <c r="V24" s="13" t="s">
        <v>99</v>
      </c>
      <c r="W24" s="13" t="s">
        <v>99</v>
      </c>
    </row>
    <row r="25" ht="76" customHeight="1" spans="1:23" s="7" customFormat="1" x14ac:dyDescent="0.25">
      <c r="A25" s="7">
        <v>24</v>
      </c>
      <c r="B25" s="8" t="s">
        <v>605</v>
      </c>
      <c r="C25" s="7" t="s">
        <v>80</v>
      </c>
      <c r="D25" s="7" t="s">
        <v>606</v>
      </c>
      <c r="E25" s="7" t="s">
        <v>607</v>
      </c>
      <c r="F25" s="7" t="s">
        <v>608</v>
      </c>
      <c r="G25" s="7" t="s">
        <v>609</v>
      </c>
      <c r="H25" s="7" t="s">
        <v>610</v>
      </c>
      <c r="I25" s="7" t="s">
        <v>611</v>
      </c>
      <c r="J25" s="7" t="s">
        <v>612</v>
      </c>
      <c r="K25" s="7" t="s">
        <v>413</v>
      </c>
      <c r="L25" s="7" t="s">
        <v>613</v>
      </c>
      <c r="M25" s="10" t="s">
        <v>90</v>
      </c>
      <c r="N25" s="7" t="s">
        <v>91</v>
      </c>
      <c r="O25" s="7" t="s">
        <v>390</v>
      </c>
      <c r="P25" s="7" t="s">
        <v>378</v>
      </c>
      <c r="Q25" s="7" t="s">
        <v>551</v>
      </c>
      <c r="R25" s="13" t="s">
        <v>367</v>
      </c>
      <c r="S25" s="13" t="s">
        <v>99</v>
      </c>
      <c r="T25" s="13" t="s">
        <v>99</v>
      </c>
      <c r="U25" s="13" t="s">
        <v>99</v>
      </c>
      <c r="V25" s="13" t="s">
        <v>99</v>
      </c>
      <c r="W25" s="13" t="s">
        <v>99</v>
      </c>
    </row>
    <row r="26" ht="76" customHeight="1" spans="1:23" s="7" customFormat="1" x14ac:dyDescent="0.25">
      <c r="A26" s="7">
        <v>25</v>
      </c>
      <c r="B26" s="8" t="s">
        <v>614</v>
      </c>
      <c r="C26" s="7" t="s">
        <v>80</v>
      </c>
      <c r="D26" s="7" t="s">
        <v>615</v>
      </c>
      <c r="E26" s="7" t="s">
        <v>616</v>
      </c>
      <c r="F26" s="7" t="s">
        <v>617</v>
      </c>
      <c r="G26" s="7" t="s">
        <v>618</v>
      </c>
      <c r="H26" s="7" t="s">
        <v>619</v>
      </c>
      <c r="I26" s="7" t="s">
        <v>620</v>
      </c>
      <c r="J26" s="7" t="s">
        <v>621</v>
      </c>
      <c r="K26" s="7" t="s">
        <v>413</v>
      </c>
      <c r="L26" s="7" t="s">
        <v>622</v>
      </c>
      <c r="M26" s="10" t="s">
        <v>90</v>
      </c>
      <c r="N26" s="7" t="s">
        <v>91</v>
      </c>
      <c r="O26" s="7" t="s">
        <v>390</v>
      </c>
      <c r="P26" s="7" t="s">
        <v>403</v>
      </c>
      <c r="Q26" s="7" t="s">
        <v>415</v>
      </c>
      <c r="R26" s="13" t="s">
        <v>367</v>
      </c>
      <c r="S26" s="13" t="s">
        <v>99</v>
      </c>
      <c r="T26" s="13" t="s">
        <v>99</v>
      </c>
      <c r="U26" s="13" t="s">
        <v>99</v>
      </c>
      <c r="V26" s="13" t="s">
        <v>99</v>
      </c>
      <c r="W26" s="13" t="s">
        <v>99</v>
      </c>
    </row>
    <row r="27" ht="76" customHeight="1" spans="1:23" s="7" customFormat="1" x14ac:dyDescent="0.25">
      <c r="A27" s="7">
        <v>26</v>
      </c>
      <c r="B27" s="8" t="s">
        <v>623</v>
      </c>
      <c r="C27" s="7" t="s">
        <v>80</v>
      </c>
      <c r="D27" s="7" t="s">
        <v>215</v>
      </c>
      <c r="E27" s="7" t="s">
        <v>624</v>
      </c>
      <c r="F27" s="7" t="s">
        <v>625</v>
      </c>
      <c r="G27" s="7" t="s">
        <v>626</v>
      </c>
      <c r="H27" s="7" t="s">
        <v>627</v>
      </c>
      <c r="I27" s="7" t="s">
        <v>628</v>
      </c>
      <c r="J27" s="7" t="s">
        <v>629</v>
      </c>
      <c r="K27" s="7" t="s">
        <v>630</v>
      </c>
      <c r="L27" s="7" t="s">
        <v>631</v>
      </c>
      <c r="M27" s="10" t="s">
        <v>90</v>
      </c>
      <c r="N27" s="7" t="s">
        <v>91</v>
      </c>
      <c r="O27" s="7" t="s">
        <v>390</v>
      </c>
      <c r="P27" s="7" t="s">
        <v>632</v>
      </c>
      <c r="Q27" s="7" t="s">
        <v>633</v>
      </c>
      <c r="R27" s="13" t="s">
        <v>367</v>
      </c>
      <c r="S27" s="13" t="s">
        <v>99</v>
      </c>
      <c r="T27" s="13" t="s">
        <v>99</v>
      </c>
      <c r="U27" s="13" t="s">
        <v>99</v>
      </c>
      <c r="V27" s="13" t="s">
        <v>99</v>
      </c>
      <c r="W27" s="13" t="s">
        <v>99</v>
      </c>
    </row>
    <row r="28" ht="76" customHeight="1" spans="1:23" s="7" customFormat="1" x14ac:dyDescent="0.25">
      <c r="A28" s="7">
        <v>27</v>
      </c>
      <c r="B28" s="8" t="s">
        <v>634</v>
      </c>
      <c r="C28" s="7" t="s">
        <v>80</v>
      </c>
      <c r="D28" s="7" t="s">
        <v>635</v>
      </c>
      <c r="E28" s="7" t="s">
        <v>636</v>
      </c>
      <c r="F28" s="7" t="s">
        <v>637</v>
      </c>
      <c r="G28" s="7" t="s">
        <v>638</v>
      </c>
      <c r="H28" s="7" t="s">
        <v>639</v>
      </c>
      <c r="I28" s="7" t="s">
        <v>640</v>
      </c>
      <c r="J28" s="7" t="s">
        <v>641</v>
      </c>
      <c r="K28" s="7" t="s">
        <v>642</v>
      </c>
      <c r="L28" s="7" t="s">
        <v>643</v>
      </c>
      <c r="M28" s="15" t="s">
        <v>644</v>
      </c>
      <c r="N28" s="11" t="s">
        <v>142</v>
      </c>
      <c r="O28" s="7" t="s">
        <v>390</v>
      </c>
      <c r="P28" s="7" t="s">
        <v>645</v>
      </c>
      <c r="Q28" s="7" t="s">
        <v>646</v>
      </c>
      <c r="R28" s="13" t="s">
        <v>367</v>
      </c>
      <c r="S28" s="13" t="s">
        <v>99</v>
      </c>
      <c r="T28" s="13" t="s">
        <v>99</v>
      </c>
      <c r="U28" s="13" t="s">
        <v>99</v>
      </c>
      <c r="V28" s="13" t="s">
        <v>99</v>
      </c>
      <c r="W28" s="13" t="s">
        <v>99</v>
      </c>
    </row>
    <row r="29" ht="76" customHeight="1" spans="1:23" s="7" customFormat="1" x14ac:dyDescent="0.25">
      <c r="A29" s="7">
        <v>28</v>
      </c>
      <c r="B29" s="8" t="s">
        <v>647</v>
      </c>
      <c r="C29" s="7" t="s">
        <v>80</v>
      </c>
      <c r="D29" s="7" t="s">
        <v>648</v>
      </c>
      <c r="E29" s="7" t="s">
        <v>649</v>
      </c>
      <c r="F29" s="7" t="s">
        <v>650</v>
      </c>
      <c r="G29" s="7" t="s">
        <v>651</v>
      </c>
      <c r="H29" s="7" t="s">
        <v>652</v>
      </c>
      <c r="I29" s="7" t="s">
        <v>653</v>
      </c>
      <c r="J29" s="7" t="s">
        <v>654</v>
      </c>
      <c r="K29" s="7" t="s">
        <v>655</v>
      </c>
      <c r="L29" s="7" t="s">
        <v>656</v>
      </c>
      <c r="M29" s="15" t="s">
        <v>644</v>
      </c>
      <c r="N29" s="11" t="s">
        <v>142</v>
      </c>
      <c r="O29" s="7" t="s">
        <v>390</v>
      </c>
      <c r="P29" s="7" t="s">
        <v>403</v>
      </c>
      <c r="Q29" s="7" t="s">
        <v>657</v>
      </c>
      <c r="R29" s="13" t="s">
        <v>367</v>
      </c>
      <c r="S29" s="13" t="s">
        <v>99</v>
      </c>
      <c r="T29" s="13" t="s">
        <v>99</v>
      </c>
      <c r="U29" s="13" t="s">
        <v>99</v>
      </c>
      <c r="V29" s="13" t="s">
        <v>99</v>
      </c>
      <c r="W29" s="13" t="s">
        <v>99</v>
      </c>
    </row>
    <row r="30" ht="76" customHeight="1" spans="1:23" s="7" customFormat="1" x14ac:dyDescent="0.25">
      <c r="A30" s="7">
        <v>29</v>
      </c>
      <c r="B30" s="8" t="s">
        <v>658</v>
      </c>
      <c r="C30" s="7" t="s">
        <v>80</v>
      </c>
      <c r="D30" s="7" t="s">
        <v>659</v>
      </c>
      <c r="E30" s="7" t="s">
        <v>660</v>
      </c>
      <c r="F30" s="7" t="s">
        <v>661</v>
      </c>
      <c r="G30" s="7" t="s">
        <v>662</v>
      </c>
      <c r="H30" s="7" t="s">
        <v>663</v>
      </c>
      <c r="I30" s="7" t="s">
        <v>664</v>
      </c>
      <c r="J30" s="7" t="s">
        <v>665</v>
      </c>
      <c r="K30" s="7" t="s">
        <v>424</v>
      </c>
      <c r="L30" s="7" t="s">
        <v>666</v>
      </c>
      <c r="M30" s="15" t="s">
        <v>644</v>
      </c>
      <c r="N30" s="11" t="s">
        <v>142</v>
      </c>
      <c r="O30" s="7" t="s">
        <v>364</v>
      </c>
      <c r="P30" s="7" t="s">
        <v>403</v>
      </c>
      <c r="Q30" s="7" t="s">
        <v>426</v>
      </c>
      <c r="R30" s="13" t="s">
        <v>367</v>
      </c>
      <c r="S30" s="13" t="s">
        <v>99</v>
      </c>
      <c r="T30" s="13" t="s">
        <v>99</v>
      </c>
      <c r="U30" s="13" t="s">
        <v>99</v>
      </c>
      <c r="V30" s="13" t="s">
        <v>99</v>
      </c>
      <c r="W30" s="13" t="s">
        <v>99</v>
      </c>
    </row>
    <row r="31" ht="76" customHeight="1" spans="1:23" s="7" customFormat="1" x14ac:dyDescent="0.25">
      <c r="A31" s="7">
        <v>30</v>
      </c>
      <c r="B31" s="8" t="s">
        <v>667</v>
      </c>
      <c r="C31" s="7" t="s">
        <v>80</v>
      </c>
      <c r="D31" s="7" t="s">
        <v>668</v>
      </c>
      <c r="E31" s="7" t="s">
        <v>669</v>
      </c>
      <c r="F31" s="7" t="s">
        <v>670</v>
      </c>
      <c r="G31" s="7" t="s">
        <v>671</v>
      </c>
      <c r="H31" s="7" t="s">
        <v>672</v>
      </c>
      <c r="I31" s="7" t="s">
        <v>673</v>
      </c>
      <c r="J31" s="7" t="s">
        <v>674</v>
      </c>
      <c r="K31" s="7" t="s">
        <v>675</v>
      </c>
      <c r="L31" s="7" t="s">
        <v>676</v>
      </c>
      <c r="M31" s="10" t="s">
        <v>90</v>
      </c>
      <c r="N31" s="7" t="s">
        <v>91</v>
      </c>
      <c r="O31" s="7" t="s">
        <v>364</v>
      </c>
      <c r="P31" s="7" t="s">
        <v>391</v>
      </c>
      <c r="Q31" s="7" t="s">
        <v>677</v>
      </c>
      <c r="R31" s="13" t="s">
        <v>367</v>
      </c>
      <c r="S31" s="13" t="s">
        <v>99</v>
      </c>
      <c r="T31" s="13" t="s">
        <v>99</v>
      </c>
      <c r="U31" s="13" t="s">
        <v>99</v>
      </c>
      <c r="V31" s="13" t="s">
        <v>99</v>
      </c>
      <c r="W31" s="13" t="s">
        <v>99</v>
      </c>
    </row>
    <row r="32" ht="76" customHeight="1" spans="1:23" s="7" customFormat="1" x14ac:dyDescent="0.25">
      <c r="A32" s="7">
        <v>31</v>
      </c>
      <c r="B32" s="8" t="s">
        <v>678</v>
      </c>
      <c r="C32" s="7" t="s">
        <v>80</v>
      </c>
      <c r="D32" s="7" t="s">
        <v>679</v>
      </c>
      <c r="E32" s="7" t="s">
        <v>680</v>
      </c>
      <c r="F32" s="7" t="s">
        <v>681</v>
      </c>
      <c r="G32" s="7" t="s">
        <v>682</v>
      </c>
      <c r="H32" s="7" t="s">
        <v>683</v>
      </c>
      <c r="I32" s="7" t="s">
        <v>684</v>
      </c>
      <c r="J32" s="7" t="s">
        <v>685</v>
      </c>
      <c r="K32" s="7" t="s">
        <v>686</v>
      </c>
      <c r="L32" s="7" t="s">
        <v>687</v>
      </c>
      <c r="M32" s="15" t="s">
        <v>644</v>
      </c>
      <c r="N32" s="7" t="s">
        <v>91</v>
      </c>
      <c r="O32" s="7" t="s">
        <v>688</v>
      </c>
      <c r="P32" s="7" t="s">
        <v>689</v>
      </c>
      <c r="Q32" s="7" t="s">
        <v>690</v>
      </c>
      <c r="R32" s="13" t="s">
        <v>367</v>
      </c>
      <c r="S32" s="13" t="s">
        <v>99</v>
      </c>
      <c r="T32" s="13" t="s">
        <v>99</v>
      </c>
      <c r="U32" s="13" t="s">
        <v>99</v>
      </c>
      <c r="V32" s="13" t="s">
        <v>99</v>
      </c>
      <c r="W32" s="13" t="s">
        <v>99</v>
      </c>
    </row>
    <row r="33" ht="76" customHeight="1" spans="1:23" s="7" customFormat="1" x14ac:dyDescent="0.25">
      <c r="A33" s="7">
        <v>32</v>
      </c>
      <c r="B33" s="8" t="s">
        <v>691</v>
      </c>
      <c r="C33" s="7" t="s">
        <v>80</v>
      </c>
      <c r="D33" s="7" t="s">
        <v>692</v>
      </c>
      <c r="E33" s="7" t="s">
        <v>693</v>
      </c>
      <c r="F33" s="7" t="s">
        <v>694</v>
      </c>
      <c r="G33" s="7" t="s">
        <v>695</v>
      </c>
      <c r="H33" s="7" t="s">
        <v>696</v>
      </c>
      <c r="I33" s="7" t="s">
        <v>697</v>
      </c>
      <c r="J33" s="7" t="s">
        <v>698</v>
      </c>
      <c r="K33" s="7" t="s">
        <v>699</v>
      </c>
      <c r="L33" s="7" t="s">
        <v>700</v>
      </c>
      <c r="M33" s="10" t="s">
        <v>90</v>
      </c>
      <c r="N33" s="7" t="s">
        <v>91</v>
      </c>
      <c r="O33" s="7" t="s">
        <v>701</v>
      </c>
      <c r="P33" s="7" t="s">
        <v>702</v>
      </c>
      <c r="Q33" s="7" t="s">
        <v>703</v>
      </c>
      <c r="R33" s="13" t="s">
        <v>367</v>
      </c>
      <c r="S33" s="13" t="s">
        <v>99</v>
      </c>
      <c r="T33" s="13" t="s">
        <v>99</v>
      </c>
      <c r="U33" s="13" t="s">
        <v>99</v>
      </c>
      <c r="V33" s="13" t="s">
        <v>99</v>
      </c>
      <c r="W33" s="13" t="s">
        <v>99</v>
      </c>
    </row>
    <row r="34" ht="76" customHeight="1" spans="1:23" s="7" customFormat="1" x14ac:dyDescent="0.25">
      <c r="A34" s="7">
        <v>33</v>
      </c>
      <c r="B34" s="8" t="s">
        <v>704</v>
      </c>
      <c r="C34" s="7" t="s">
        <v>80</v>
      </c>
      <c r="D34" s="7" t="s">
        <v>705</v>
      </c>
      <c r="E34" s="7" t="s">
        <v>706</v>
      </c>
      <c r="F34" s="7" t="s">
        <v>707</v>
      </c>
      <c r="G34" s="7" t="s">
        <v>708</v>
      </c>
      <c r="H34" s="7" t="s">
        <v>709</v>
      </c>
      <c r="I34" s="7" t="s">
        <v>710</v>
      </c>
      <c r="J34" s="7" t="s">
        <v>711</v>
      </c>
      <c r="K34" s="7" t="s">
        <v>712</v>
      </c>
      <c r="L34" s="7" t="s">
        <v>713</v>
      </c>
      <c r="M34" s="10" t="s">
        <v>90</v>
      </c>
      <c r="N34" s="7" t="s">
        <v>91</v>
      </c>
      <c r="O34" s="7" t="s">
        <v>714</v>
      </c>
      <c r="P34" s="7" t="s">
        <v>715</v>
      </c>
      <c r="Q34" s="7" t="s">
        <v>716</v>
      </c>
      <c r="R34" s="13" t="s">
        <v>367</v>
      </c>
      <c r="S34" s="13" t="s">
        <v>99</v>
      </c>
      <c r="T34" s="13" t="s">
        <v>99</v>
      </c>
      <c r="U34" s="13" t="s">
        <v>99</v>
      </c>
      <c r="V34" s="13" t="s">
        <v>99</v>
      </c>
      <c r="W34" s="13" t="s">
        <v>99</v>
      </c>
    </row>
    <row r="35" ht="76" customHeight="1" spans="1:23" s="7" customFormat="1" x14ac:dyDescent="0.25">
      <c r="A35" s="7">
        <v>34</v>
      </c>
      <c r="B35" s="8" t="s">
        <v>717</v>
      </c>
      <c r="C35" s="7" t="s">
        <v>80</v>
      </c>
      <c r="D35" s="7" t="s">
        <v>718</v>
      </c>
      <c r="E35" s="7" t="s">
        <v>719</v>
      </c>
      <c r="F35" s="7" t="s">
        <v>720</v>
      </c>
      <c r="G35" s="7" t="s">
        <v>721</v>
      </c>
      <c r="H35" s="7" t="s">
        <v>722</v>
      </c>
      <c r="I35" s="7" t="s">
        <v>723</v>
      </c>
      <c r="J35" s="7" t="s">
        <v>724</v>
      </c>
      <c r="K35" s="7" t="s">
        <v>725</v>
      </c>
      <c r="L35" s="7" t="s">
        <v>726</v>
      </c>
      <c r="M35" s="15" t="s">
        <v>644</v>
      </c>
      <c r="N35" s="11" t="s">
        <v>142</v>
      </c>
      <c r="O35" s="7" t="s">
        <v>727</v>
      </c>
      <c r="P35" s="7" t="s">
        <v>728</v>
      </c>
      <c r="Q35" s="7" t="s">
        <v>729</v>
      </c>
      <c r="R35" s="13" t="s">
        <v>367</v>
      </c>
      <c r="S35" s="13" t="s">
        <v>99</v>
      </c>
      <c r="T35" s="13" t="s">
        <v>99</v>
      </c>
      <c r="U35" s="13" t="s">
        <v>99</v>
      </c>
      <c r="V35" s="13" t="s">
        <v>99</v>
      </c>
      <c r="W35" s="13" t="s">
        <v>99</v>
      </c>
    </row>
  </sheetData>
  <dataValidations count="2">
    <dataValidation type="list" sqref="R10:R35">
      <formula1>"Not Run,Pass,Fail,Blocked,Not Applicable"</formula1>
    </dataValidation>
    <dataValidation type="list" sqref="R2:R35">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58"/>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6" t="s">
        <v>730</v>
      </c>
      <c r="B1" s="16"/>
      <c r="C1" s="16"/>
      <c r="D1" s="16"/>
    </row>
    <row r="2" spans="1:4" x14ac:dyDescent="0.25">
      <c r="A2" s="17" t="s">
        <v>731</v>
      </c>
      <c r="B2" s="17"/>
      <c r="C2" s="17"/>
      <c r="D2" s="17"/>
    </row>
    <row r="3" spans="1:4" x14ac:dyDescent="0.25"/>
    <row r="4" ht="30" customHeight="1" spans="1:4" s="18" customFormat="1" x14ac:dyDescent="0.25">
      <c r="A4" s="18" t="s">
        <v>732</v>
      </c>
      <c r="B4" s="18" t="s">
        <v>733</v>
      </c>
      <c r="C4" s="18" t="s">
        <v>734</v>
      </c>
      <c r="D4" s="18" t="s">
        <v>735</v>
      </c>
    </row>
    <row r="5" ht="27" customHeight="1" spans="1:4" s="19" customFormat="1" x14ac:dyDescent="0.25">
      <c r="A5" s="20" t="s">
        <v>736</v>
      </c>
      <c r="B5" s="21" t="s">
        <v>737</v>
      </c>
      <c r="C5" s="22">
        <f>ROWS(GuardrailsAutomatedCases[Test Case ID])</f>
        <v>30</v>
      </c>
      <c r="D5" s="21" t="s">
        <v>738</v>
      </c>
    </row>
    <row r="6" ht="27" customHeight="1" spans="1:4" s="19" customFormat="1" x14ac:dyDescent="0.25">
      <c r="A6" s="20" t="s">
        <v>736</v>
      </c>
      <c r="B6" s="21" t="s">
        <v>739</v>
      </c>
      <c r="C6" s="22">
        <f>ROWS(GuardrailsManualUiUxCases[Test Case ID])</f>
        <v>34</v>
      </c>
      <c r="D6" s="21" t="s">
        <v>740</v>
      </c>
    </row>
    <row r="7" ht="27" customHeight="1" spans="1:4" s="19" customFormat="1" x14ac:dyDescent="0.25">
      <c r="A7" s="20" t="s">
        <v>736</v>
      </c>
      <c r="B7" s="21" t="s">
        <v>741</v>
      </c>
      <c r="C7" s="22">
        <f>ROWS(GuardrailsAutomatedCases[Test Case ID])+ROWS(GuardrailsManualUiUxCases[Test Case ID])</f>
        <v>64</v>
      </c>
      <c r="D7" s="21" t="s">
        <v>742</v>
      </c>
    </row>
    <row r="8" ht="27" customHeight="1" spans="1:4" s="19" customFormat="1" x14ac:dyDescent="0.25">
      <c r="A8" s="20" t="s">
        <v>743</v>
      </c>
      <c r="B8" s="21" t="s">
        <v>744</v>
      </c>
      <c r="C8" s="22">
        <f>COUNTIF(GuardrailsAutomatedCases[Write Operation],"YES")</f>
        <v>2</v>
      </c>
      <c r="D8" s="21" t="s">
        <v>745</v>
      </c>
    </row>
    <row r="9" ht="27" customHeight="1" spans="1:4" s="19" customFormat="1" x14ac:dyDescent="0.25">
      <c r="A9" s="20" t="s">
        <v>20</v>
      </c>
      <c r="B9" s="21" t="s">
        <v>367</v>
      </c>
      <c r="C9" s="22">
        <f>COUNTIF(GuardrailsManualUiUxCases[Status],"Not Run")</f>
        <v>34</v>
      </c>
      <c r="D9" s="21" t="s">
        <v>746</v>
      </c>
    </row>
    <row r="10" ht="27" customHeight="1" spans="1:4" s="19" customFormat="1" x14ac:dyDescent="0.25">
      <c r="A10" s="20" t="s">
        <v>20</v>
      </c>
      <c r="B10" s="21" t="s">
        <v>747</v>
      </c>
      <c r="C10" s="22">
        <f>COUNTIF(GuardrailsManualUiUxCases[Status],"Pass")</f>
        <v>0</v>
      </c>
      <c r="D10" s="21" t="s">
        <v>748</v>
      </c>
    </row>
    <row r="11" ht="27" customHeight="1" spans="1:4" s="19" customFormat="1" x14ac:dyDescent="0.25">
      <c r="A11" s="20" t="s">
        <v>20</v>
      </c>
      <c r="B11" s="21" t="s">
        <v>749</v>
      </c>
      <c r="C11" s="22">
        <f>COUNTIF(GuardrailsManualUiUxCases[Status],"Fail")</f>
        <v>0</v>
      </c>
      <c r="D11" s="21" t="s">
        <v>750</v>
      </c>
    </row>
    <row r="12" ht="27" customHeight="1" spans="1:4" s="19" customFormat="1" x14ac:dyDescent="0.25">
      <c r="A12" s="20" t="s">
        <v>71</v>
      </c>
      <c r="B12" s="21" t="s">
        <v>644</v>
      </c>
      <c r="C12" s="22">
        <f>COUNTIF(GuardrailsAutomatedCases[Priority],"P0")+COUNTIF(GuardrailsManualUiUxCases[Priority],"P0")</f>
        <v>5</v>
      </c>
      <c r="D12" s="21" t="s">
        <v>751</v>
      </c>
    </row>
    <row r="13" ht="27" customHeight="1" spans="1:4" s="19" customFormat="1" x14ac:dyDescent="0.25">
      <c r="A13" s="20" t="s">
        <v>71</v>
      </c>
      <c r="B13" s="21" t="s">
        <v>90</v>
      </c>
      <c r="C13" s="22">
        <f>COUNTIF(GuardrailsAutomatedCases[Priority],"P1")+COUNTIF(GuardrailsManualUiUxCases[Priority],"P1")</f>
        <v>56</v>
      </c>
      <c r="D13" s="21" t="s">
        <v>752</v>
      </c>
    </row>
    <row r="14" ht="27" customHeight="1" spans="1:4" s="19" customFormat="1" x14ac:dyDescent="0.25">
      <c r="A14" s="20" t="s">
        <v>71</v>
      </c>
      <c r="B14" s="21" t="s">
        <v>377</v>
      </c>
      <c r="C14" s="22">
        <f>COUNTIF(GuardrailsAutomatedCases[Priority],"P2")+COUNTIF(GuardrailsManualUiUxCases[Priority],"P2")</f>
        <v>3</v>
      </c>
      <c r="D14" s="21" t="s">
        <v>753</v>
      </c>
    </row>
    <row r="15" ht="27" customHeight="1" spans="1:4" s="19" customFormat="1" x14ac:dyDescent="0.25">
      <c r="A15" s="20" t="s">
        <v>72</v>
      </c>
      <c r="B15" s="21" t="s">
        <v>142</v>
      </c>
      <c r="C15" s="22">
        <f>COUNTIF(GuardrailsAutomatedCases[Severity],"Critical")+COUNTIF(GuardrailsManualUiUxCases[Severity],"Critical")</f>
        <v>11</v>
      </c>
      <c r="D15" s="21" t="s">
        <v>754</v>
      </c>
    </row>
    <row r="16" ht="27" customHeight="1" spans="1:4" s="19" customFormat="1" x14ac:dyDescent="0.25">
      <c r="A16" s="20" t="s">
        <v>72</v>
      </c>
      <c r="B16" s="21" t="s">
        <v>91</v>
      </c>
      <c r="C16" s="22">
        <f>COUNTIF(GuardrailsAutomatedCases[Severity],"Major")+COUNTIF(GuardrailsManualUiUxCases[Severity],"Major")</f>
        <v>46</v>
      </c>
      <c r="D16" s="21" t="s">
        <v>755</v>
      </c>
    </row>
    <row r="17" ht="27" customHeight="1" spans="1:4" s="19" customFormat="1" x14ac:dyDescent="0.25">
      <c r="A17" s="20" t="s">
        <v>72</v>
      </c>
      <c r="B17" s="21" t="s">
        <v>363</v>
      </c>
      <c r="C17" s="22">
        <f>COUNTIF(GuardrailsAutomatedCases[Severity],"Minor")+COUNTIF(GuardrailsManualUiUxCases[Severity],"Minor")</f>
        <v>7</v>
      </c>
      <c r="D17" s="21" t="s">
        <v>756</v>
      </c>
    </row>
    <row r="18" ht="27" customHeight="1" spans="1:4" s="19" customFormat="1" x14ac:dyDescent="0.25">
      <c r="A18" s="20" t="s">
        <v>757</v>
      </c>
      <c r="B18" s="21" t="s">
        <v>88</v>
      </c>
      <c r="C18" s="22">
        <f>COUNTIF(GuardrailsAutomatedCases[Execution Tags],"*@functional*")+COUNTIF(GuardrailsManualUiUxCases[Execution Tags],"*@functional*")</f>
        <v>30</v>
      </c>
      <c r="D18" s="21" t="s">
        <v>758</v>
      </c>
    </row>
    <row r="19" ht="27" customHeight="1" spans="1:4" s="19" customFormat="1" x14ac:dyDescent="0.25">
      <c r="A19" s="20" t="s">
        <v>757</v>
      </c>
      <c r="B19" s="21" t="s">
        <v>759</v>
      </c>
      <c r="C19" s="22">
        <f>COUNTIF(GuardrailsAutomatedCases[Execution Tags],"*@non-functional*")+COUNTIF(GuardrailsManualUiUxCases[Execution Tags],"*@non-functional*")</f>
        <v>40</v>
      </c>
      <c r="D19" s="21" t="s">
        <v>760</v>
      </c>
    </row>
    <row r="20" ht="27" customHeight="1" spans="1:4" s="19" customFormat="1" x14ac:dyDescent="0.25">
      <c r="A20" s="20" t="s">
        <v>757</v>
      </c>
      <c r="B20" s="21" t="s">
        <v>761</v>
      </c>
      <c r="C20" s="22">
        <f>COUNTIF(GuardrailsAutomatedCases[Execution Tags],"*@smoke*")+COUNTIF(GuardrailsManualUiUxCases[Execution Tags],"*@smoke*")</f>
        <v>1</v>
      </c>
      <c r="D20" s="21" t="s">
        <v>762</v>
      </c>
    </row>
    <row r="21" ht="27" customHeight="1" spans="1:4" s="19" customFormat="1" x14ac:dyDescent="0.25">
      <c r="A21" s="20" t="s">
        <v>757</v>
      </c>
      <c r="B21" s="21" t="s">
        <v>763</v>
      </c>
      <c r="C21" s="22">
        <f>COUNTIF(GuardrailsAutomatedCases[Execution Tags],"*@prod-smoke*")+COUNTIF(GuardrailsManualUiUxCases[Execution Tags],"*@prod-smoke*")</f>
        <v>1</v>
      </c>
      <c r="D21" s="21" t="s">
        <v>764</v>
      </c>
    </row>
    <row r="22" ht="27" customHeight="1" spans="1:4" s="19" customFormat="1" x14ac:dyDescent="0.25">
      <c r="A22" s="20" t="s">
        <v>757</v>
      </c>
      <c r="B22" s="21" t="s">
        <v>765</v>
      </c>
      <c r="C22" s="22">
        <f>COUNTIF(GuardrailsAutomatedCases[Execution Tags],"*@sanity*")+COUNTIF(GuardrailsManualUiUxCases[Execution Tags],"*@sanity*")</f>
        <v>4</v>
      </c>
      <c r="D22" s="21" t="s">
        <v>766</v>
      </c>
    </row>
    <row r="23" ht="27" customHeight="1" spans="1:4" s="19" customFormat="1" x14ac:dyDescent="0.25">
      <c r="A23" s="20" t="s">
        <v>757</v>
      </c>
      <c r="B23" s="21" t="s">
        <v>767</v>
      </c>
      <c r="C23" s="22">
        <f>COUNTIF(GuardrailsAutomatedCases[Execution Tags],"*@regression*")+COUNTIF(GuardrailsManualUiUxCases[Execution Tags],"*@regression*")</f>
        <v>64</v>
      </c>
      <c r="D23" s="21" t="s">
        <v>768</v>
      </c>
    </row>
    <row r="24" ht="27" customHeight="1" spans="1:4" s="19" customFormat="1" x14ac:dyDescent="0.25">
      <c r="A24" s="20" t="s">
        <v>757</v>
      </c>
      <c r="B24" s="21" t="s">
        <v>769</v>
      </c>
      <c r="C24" s="22">
        <f>COUNTIF(GuardrailsAutomatedCases[Execution Tags],"*@e2e*")+COUNTIF(GuardrailsManualUiUxCases[Execution Tags],"*@e2e*")</f>
        <v>8</v>
      </c>
      <c r="D24" s="21" t="s">
        <v>770</v>
      </c>
    </row>
    <row r="25" ht="27" customHeight="1" spans="1:4" s="19" customFormat="1" x14ac:dyDescent="0.25">
      <c r="A25" s="20" t="s">
        <v>757</v>
      </c>
      <c r="B25" s="21" t="s">
        <v>771</v>
      </c>
      <c r="C25" s="22">
        <f>COUNTIF(GuardrailsAutomatedCases[Execution Tags],"*@integration*")+COUNTIF(GuardrailsManualUiUxCases[Execution Tags],"*@integration*")</f>
        <v>5</v>
      </c>
      <c r="D25" s="21" t="s">
        <v>772</v>
      </c>
    </row>
    <row r="26" ht="27" customHeight="1" spans="1:4" s="19" customFormat="1" x14ac:dyDescent="0.25">
      <c r="A26" s="20" t="s">
        <v>757</v>
      </c>
      <c r="B26" s="21" t="s">
        <v>291</v>
      </c>
      <c r="C26" s="22">
        <f>COUNTIF(GuardrailsAutomatedCases[Execution Tags],"*@security*")+COUNTIF(GuardrailsManualUiUxCases[Execution Tags],"*@security*")</f>
        <v>7</v>
      </c>
      <c r="D26" s="21" t="s">
        <v>773</v>
      </c>
    </row>
    <row r="27" ht="27" customHeight="1" spans="1:4" s="19" customFormat="1" x14ac:dyDescent="0.25">
      <c r="A27" s="20" t="s">
        <v>757</v>
      </c>
      <c r="B27" s="21" t="s">
        <v>424</v>
      </c>
      <c r="C27" s="22">
        <f>COUNTIF(GuardrailsAutomatedCases[Execution Tags],"*@a11y*")+COUNTIF(GuardrailsManualUiUxCases[Execution Tags],"*@a11y*")</f>
        <v>20</v>
      </c>
      <c r="D27" s="21" t="s">
        <v>774</v>
      </c>
    </row>
    <row r="28" ht="27" customHeight="1" spans="1:4" s="19" customFormat="1" x14ac:dyDescent="0.25">
      <c r="A28" s="20" t="s">
        <v>757</v>
      </c>
      <c r="B28" s="21" t="s">
        <v>775</v>
      </c>
      <c r="C28" s="22">
        <f>COUNTIF(GuardrailsAutomatedCases[Execution Tags],"*@responsive*")+COUNTIF(GuardrailsManualUiUxCases[Execution Tags],"*@responsive*")</f>
        <v>9</v>
      </c>
      <c r="D28" s="21" t="s">
        <v>776</v>
      </c>
    </row>
    <row r="29" ht="27" customHeight="1" spans="1:4" s="19" customFormat="1" x14ac:dyDescent="0.25">
      <c r="A29" s="20" t="s">
        <v>757</v>
      </c>
      <c r="B29" s="21" t="s">
        <v>777</v>
      </c>
      <c r="C29" s="22">
        <f>COUNTIF(GuardrailsAutomatedCases[Execution Tags],"*@visual-regression*")+COUNTIF(GuardrailsManualUiUxCases[Execution Tags],"*@visual-regression*")</f>
        <v>1</v>
      </c>
      <c r="D29" s="21" t="s">
        <v>778</v>
      </c>
    </row>
    <row r="30" ht="27" customHeight="1" spans="1:4" s="19" customFormat="1" x14ac:dyDescent="0.25">
      <c r="A30" s="20" t="s">
        <v>757</v>
      </c>
      <c r="B30" s="21" t="s">
        <v>779</v>
      </c>
      <c r="C30" s="22">
        <f>COUNTIF(GuardrailsAutomatedCases[Execution Tags],"*@performance*")+COUNTIF(GuardrailsManualUiUxCases[Execution Tags],"*@performance*")</f>
        <v>1</v>
      </c>
      <c r="D30" s="21" t="s">
        <v>780</v>
      </c>
    </row>
    <row r="31" ht="27" customHeight="1" spans="1:4" s="19" customFormat="1" x14ac:dyDescent="0.25">
      <c r="A31" s="20" t="s">
        <v>757</v>
      </c>
      <c r="B31" s="21" t="s">
        <v>781</v>
      </c>
      <c r="C31" s="22">
        <f>COUNTIF(GuardrailsAutomatedCases[Execution Tags],"*@localization*")+COUNTIF(GuardrailsManualUiUxCases[Execution Tags],"*@localization*")</f>
        <v>1</v>
      </c>
      <c r="D31" s="21" t="s">
        <v>782</v>
      </c>
    </row>
    <row r="32" ht="27" customHeight="1" spans="1:4" s="19" customFormat="1" x14ac:dyDescent="0.25">
      <c r="A32" s="20" t="s">
        <v>757</v>
      </c>
      <c r="B32" s="21" t="s">
        <v>783</v>
      </c>
      <c r="C32" s="22">
        <f>COUNTIF(GuardrailsAutomatedCases[Execution Tags],"*@exploratory*")+COUNTIF(GuardrailsManualUiUxCases[Execution Tags],"*@exploratory*")</f>
        <v>1</v>
      </c>
      <c r="D32" s="21" t="s">
        <v>784</v>
      </c>
    </row>
    <row r="33" ht="27" customHeight="1" spans="1:4" s="19" customFormat="1" x14ac:dyDescent="0.25">
      <c r="A33" s="20" t="s">
        <v>757</v>
      </c>
      <c r="B33" s="21" t="s">
        <v>785</v>
      </c>
      <c r="C33" s="22">
        <f>COUNTIF(GuardrailsAutomatedCases[Execution Tags],"*@uat*")+COUNTIF(GuardrailsManualUiUxCases[Execution Tags],"*@uat*")</f>
        <v>6</v>
      </c>
      <c r="D33" s="21" t="s">
        <v>786</v>
      </c>
    </row>
    <row r="34" ht="27" customHeight="1" spans="1:4" s="19" customFormat="1" x14ac:dyDescent="0.25">
      <c r="A34" s="20" t="s">
        <v>757</v>
      </c>
      <c r="B34" s="21" t="s">
        <v>38</v>
      </c>
      <c r="C34" s="22">
        <f>COUNTIF(GuardrailsAutomatedCases[Execution Tags],"*@retest*")+COUNTIF(GuardrailsManualUiUxCases[Execution Tags],"*@retest*")</f>
        <v>0</v>
      </c>
      <c r="D34" s="21" t="s">
        <v>787</v>
      </c>
    </row>
    <row r="35" ht="27" customHeight="1" spans="1:4" s="19" customFormat="1" x14ac:dyDescent="0.25">
      <c r="A35" s="20" t="s">
        <v>788</v>
      </c>
      <c r="B35" s="21" t="s">
        <v>424</v>
      </c>
      <c r="C35" s="22">
        <f>COUNTIF(GuardrailsManualUiUxCases[UX Category],"Accessibility")</f>
        <v>3</v>
      </c>
      <c r="D35" s="21" t="s">
        <v>789</v>
      </c>
    </row>
    <row r="36" ht="27" customHeight="1" spans="1:4" s="19" customFormat="1" x14ac:dyDescent="0.25">
      <c r="A36" s="20" t="s">
        <v>788</v>
      </c>
      <c r="B36" s="21" t="s">
        <v>570</v>
      </c>
      <c r="C36" s="22">
        <f>COUNTIF(GuardrailsManualUiUxCases[UX Category],"Content design")</f>
        <v>1</v>
      </c>
      <c r="D36" s="21" t="s">
        <v>790</v>
      </c>
    </row>
    <row r="37" ht="27" customHeight="1" spans="1:4" s="19" customFormat="1" x14ac:dyDescent="0.25">
      <c r="A37" s="20" t="s">
        <v>788</v>
      </c>
      <c r="B37" s="21" t="s">
        <v>539</v>
      </c>
      <c r="C37" s="22">
        <f>COUNTIF(GuardrailsManualUiUxCases[UX Category],"Content design and accessibility")</f>
        <v>1</v>
      </c>
      <c r="D37" s="21" t="s">
        <v>791</v>
      </c>
    </row>
    <row r="38" ht="27" customHeight="1" spans="1:4" s="19" customFormat="1" x14ac:dyDescent="0.25">
      <c r="A38" s="20" t="s">
        <v>788</v>
      </c>
      <c r="B38" s="21" t="s">
        <v>602</v>
      </c>
      <c r="C38" s="22">
        <f>COUNTIF(GuardrailsManualUiUxCases[UX Category],"Content design and usability")</f>
        <v>1</v>
      </c>
      <c r="D38" s="21" t="s">
        <v>792</v>
      </c>
    </row>
    <row r="39" ht="27" customHeight="1" spans="1:4" s="19" customFormat="1" x14ac:dyDescent="0.25">
      <c r="A39" s="20" t="s">
        <v>788</v>
      </c>
      <c r="B39" s="21" t="s">
        <v>388</v>
      </c>
      <c r="C39" s="22">
        <f>COUNTIF(GuardrailsManualUiUxCases[UX Category],"Content resilience")</f>
        <v>1</v>
      </c>
      <c r="D39" s="21" t="s">
        <v>793</v>
      </c>
    </row>
    <row r="40" ht="27" customHeight="1" spans="1:4" s="19" customFormat="1" x14ac:dyDescent="0.25">
      <c r="A40" s="20" t="s">
        <v>788</v>
      </c>
      <c r="B40" s="21" t="s">
        <v>655</v>
      </c>
      <c r="C40" s="22">
        <f>COUNTIF(GuardrailsManualUiUxCases[UX Category],"Destructive-action UX")</f>
        <v>1</v>
      </c>
      <c r="D40" s="21" t="s">
        <v>794</v>
      </c>
    </row>
    <row r="41" ht="27" customHeight="1" spans="1:4" s="19" customFormat="1" x14ac:dyDescent="0.25">
      <c r="A41" s="20" t="s">
        <v>788</v>
      </c>
      <c r="B41" s="21" t="s">
        <v>446</v>
      </c>
      <c r="C41" s="22">
        <f>COUNTIF(GuardrailsManualUiUxCases[UX Category],"Empty-state UX")</f>
        <v>2</v>
      </c>
      <c r="D41" s="21" t="s">
        <v>795</v>
      </c>
    </row>
    <row r="42" ht="27" customHeight="1" spans="1:4" s="19" customFormat="1" x14ac:dyDescent="0.25">
      <c r="A42" s="20" t="s">
        <v>788</v>
      </c>
      <c r="B42" s="21" t="s">
        <v>467</v>
      </c>
      <c r="C42" s="22">
        <f>COUNTIF(GuardrailsManualUiUxCases[UX Category],"Error-state UX")</f>
        <v>1</v>
      </c>
      <c r="D42" s="21" t="s">
        <v>796</v>
      </c>
    </row>
    <row r="43" ht="27" customHeight="1" spans="1:4" s="19" customFormat="1" x14ac:dyDescent="0.25">
      <c r="A43" s="20" t="s">
        <v>788</v>
      </c>
      <c r="B43" s="21" t="s">
        <v>725</v>
      </c>
      <c r="C43" s="22">
        <f>COUNTIF(GuardrailsManualUiUxCases[UX Category],"Exploratory UAT")</f>
        <v>1</v>
      </c>
      <c r="D43" s="21" t="s">
        <v>797</v>
      </c>
    </row>
    <row r="44" ht="27" customHeight="1" spans="1:4" s="19" customFormat="1" x14ac:dyDescent="0.25">
      <c r="A44" s="20" t="s">
        <v>788</v>
      </c>
      <c r="B44" s="21" t="s">
        <v>642</v>
      </c>
      <c r="C44" s="22">
        <f>COUNTIF(GuardrailsManualUiUxCases[UX Category],"Feedback and state handling")</f>
        <v>1</v>
      </c>
      <c r="D44" s="21" t="s">
        <v>798</v>
      </c>
    </row>
    <row r="45" ht="27" customHeight="1" spans="1:4" s="19" customFormat="1" x14ac:dyDescent="0.25">
      <c r="A45" s="20" t="s">
        <v>788</v>
      </c>
      <c r="B45" s="21" t="s">
        <v>500</v>
      </c>
      <c r="C45" s="22">
        <f>COUNTIF(GuardrailsManualUiUxCases[UX Category],"Form usability")</f>
        <v>3</v>
      </c>
      <c r="D45" s="21" t="s">
        <v>799</v>
      </c>
    </row>
    <row r="46" ht="27" customHeight="1" spans="1:4" s="19" customFormat="1" x14ac:dyDescent="0.25">
      <c r="A46" s="20" t="s">
        <v>788</v>
      </c>
      <c r="B46" s="21" t="s">
        <v>581</v>
      </c>
      <c r="C46" s="22">
        <f>COUNTIF(GuardrailsManualUiUxCases[UX Category],"Information architecture")</f>
        <v>1</v>
      </c>
      <c r="D46" s="21" t="s">
        <v>800</v>
      </c>
    </row>
    <row r="47" ht="27" customHeight="1" spans="1:4" s="19" customFormat="1" x14ac:dyDescent="0.25">
      <c r="A47" s="20" t="s">
        <v>788</v>
      </c>
      <c r="B47" s="21" t="s">
        <v>712</v>
      </c>
      <c r="C47" s="22">
        <f>COUNTIF(GuardrailsManualUiUxCases[UX Category],"Localization and internationalization")</f>
        <v>1</v>
      </c>
      <c r="D47" s="21" t="s">
        <v>801</v>
      </c>
    </row>
    <row r="48" ht="27" customHeight="1" spans="1:4" s="19" customFormat="1" x14ac:dyDescent="0.25">
      <c r="A48" s="20" t="s">
        <v>788</v>
      </c>
      <c r="B48" s="21" t="s">
        <v>630</v>
      </c>
      <c r="C48" s="22">
        <f>COUNTIF(GuardrailsManualUiUxCases[UX Category],"Permission UX")</f>
        <v>1</v>
      </c>
      <c r="D48" s="21" t="s">
        <v>802</v>
      </c>
    </row>
    <row r="49" ht="27" customHeight="1" spans="1:4" s="19" customFormat="1" x14ac:dyDescent="0.25">
      <c r="A49" s="20" t="s">
        <v>788</v>
      </c>
      <c r="B49" s="21" t="s">
        <v>675</v>
      </c>
      <c r="C49" s="22">
        <f>COUNTIF(GuardrailsManualUiUxCases[UX Category],"Responsive accessibility")</f>
        <v>1</v>
      </c>
      <c r="D49" s="21" t="s">
        <v>803</v>
      </c>
    </row>
    <row r="50" ht="27" customHeight="1" spans="1:4" s="19" customFormat="1" x14ac:dyDescent="0.25">
      <c r="A50" s="20" t="s">
        <v>788</v>
      </c>
      <c r="B50" s="21" t="s">
        <v>489</v>
      </c>
      <c r="C50" s="22">
        <f>COUNTIF(GuardrailsManualUiUxCases[UX Category],"Responsive usability")</f>
        <v>1</v>
      </c>
      <c r="D50" s="21" t="s">
        <v>804</v>
      </c>
    </row>
    <row r="51" ht="27" customHeight="1" spans="1:4" s="19" customFormat="1" x14ac:dyDescent="0.25">
      <c r="A51" s="20" t="s">
        <v>788</v>
      </c>
      <c r="B51" s="21" t="s">
        <v>435</v>
      </c>
      <c r="C51" s="22">
        <f>COUNTIF(GuardrailsManualUiUxCases[UX Category],"State handling")</f>
        <v>1</v>
      </c>
      <c r="D51" s="21" t="s">
        <v>805</v>
      </c>
    </row>
    <row r="52" ht="27" customHeight="1" spans="1:4" s="19" customFormat="1" x14ac:dyDescent="0.25">
      <c r="A52" s="20" t="s">
        <v>788</v>
      </c>
      <c r="B52" s="21" t="s">
        <v>686</v>
      </c>
      <c r="C52" s="22">
        <f>COUNTIF(GuardrailsManualUiUxCases[UX Category],"UI performance")</f>
        <v>1</v>
      </c>
      <c r="D52" s="21" t="s">
        <v>806</v>
      </c>
    </row>
    <row r="53" ht="27" customHeight="1" spans="1:4" s="19" customFormat="1" x14ac:dyDescent="0.25">
      <c r="A53" s="20" t="s">
        <v>788</v>
      </c>
      <c r="B53" s="21" t="s">
        <v>413</v>
      </c>
      <c r="C53" s="22">
        <f>COUNTIF(GuardrailsManualUiUxCases[UX Category],"Usability")</f>
        <v>4</v>
      </c>
      <c r="D53" s="21" t="s">
        <v>807</v>
      </c>
    </row>
    <row r="54" ht="27" customHeight="1" spans="1:4" s="19" customFormat="1" x14ac:dyDescent="0.25">
      <c r="A54" s="20" t="s">
        <v>788</v>
      </c>
      <c r="B54" s="21" t="s">
        <v>401</v>
      </c>
      <c r="C54" s="22">
        <f>COUNTIF(GuardrailsManualUiUxCases[UX Category],"Usability and accessibility")</f>
        <v>2</v>
      </c>
      <c r="D54" s="21" t="s">
        <v>808</v>
      </c>
    </row>
    <row r="55" ht="27" customHeight="1" spans="1:4" s="19" customFormat="1" x14ac:dyDescent="0.25">
      <c r="A55" s="20" t="s">
        <v>788</v>
      </c>
      <c r="B55" s="21" t="s">
        <v>511</v>
      </c>
      <c r="C55" s="22">
        <f>COUNTIF(GuardrailsManualUiUxCases[UX Category],"Validation UX")</f>
        <v>1</v>
      </c>
      <c r="D55" s="21" t="s">
        <v>809</v>
      </c>
    </row>
    <row r="56" ht="27" customHeight="1" spans="1:4" s="19" customFormat="1" x14ac:dyDescent="0.25">
      <c r="A56" s="20" t="s">
        <v>788</v>
      </c>
      <c r="B56" s="21" t="s">
        <v>361</v>
      </c>
      <c r="C56" s="22">
        <f>COUNTIF(GuardrailsManualUiUxCases[UX Category],"Visual consistency")</f>
        <v>2</v>
      </c>
      <c r="D56" s="21" t="s">
        <v>810</v>
      </c>
    </row>
    <row r="57" ht="27" customHeight="1" spans="1:4" s="19" customFormat="1" x14ac:dyDescent="0.25">
      <c r="A57" s="20" t="s">
        <v>788</v>
      </c>
      <c r="B57" s="21" t="s">
        <v>699</v>
      </c>
      <c r="C57" s="22">
        <f>COUNTIF(GuardrailsManualUiUxCases[UX Category],"Visual regression")</f>
        <v>1</v>
      </c>
      <c r="D57" s="21" t="s">
        <v>811</v>
      </c>
    </row>
    <row r="58" ht="27" customHeight="1" spans="1:4" s="19" customFormat="1" x14ac:dyDescent="0.25">
      <c r="A58" s="20" t="s">
        <v>788</v>
      </c>
      <c r="B58" s="21" t="s">
        <v>478</v>
      </c>
      <c r="C58" s="22">
        <f>COUNTIF(GuardrailsManualUiUxCases[UX Category],"Wizard usability")</f>
        <v>1</v>
      </c>
      <c r="D58" s="21" t="s">
        <v>812</v>
      </c>
    </row>
  </sheetData>
  <autoFilter ref="A4:D58"/>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23" customFormat="1" x14ac:dyDescent="0.25">
      <c r="A1" s="23" t="s">
        <v>813</v>
      </c>
      <c r="B1" s="23" t="s">
        <v>814</v>
      </c>
      <c r="C1" s="23" t="s">
        <v>815</v>
      </c>
      <c r="D1" s="23" t="s">
        <v>816</v>
      </c>
      <c r="E1" s="23" t="s">
        <v>817</v>
      </c>
      <c r="F1" s="23" t="s">
        <v>818</v>
      </c>
    </row>
    <row r="2" ht="42" customHeight="1" spans="1:6" s="4" customFormat="1" x14ac:dyDescent="0.25">
      <c r="A2" s="8" t="s">
        <v>60</v>
      </c>
      <c r="B2" s="4" t="s">
        <v>29</v>
      </c>
      <c r="C2" s="4" t="s">
        <v>819</v>
      </c>
      <c r="D2" s="4" t="s">
        <v>820</v>
      </c>
      <c r="E2" s="4" t="s">
        <v>821</v>
      </c>
      <c r="F2" s="4" t="s">
        <v>822</v>
      </c>
    </row>
    <row r="3" ht="42" customHeight="1" spans="1:6" s="4" customFormat="1" x14ac:dyDescent="0.25">
      <c r="A3" s="8" t="s">
        <v>62</v>
      </c>
      <c r="B3" s="4" t="s">
        <v>29</v>
      </c>
      <c r="C3" s="4" t="s">
        <v>819</v>
      </c>
      <c r="D3" s="4" t="s">
        <v>820</v>
      </c>
      <c r="E3" s="4" t="s">
        <v>823</v>
      </c>
      <c r="F3" s="4" t="s">
        <v>824</v>
      </c>
    </row>
    <row r="4" ht="42" customHeight="1" spans="1:6" s="4" customFormat="1" x14ac:dyDescent="0.25">
      <c r="A4" s="8" t="s">
        <v>64</v>
      </c>
      <c r="B4" s="4" t="s">
        <v>29</v>
      </c>
      <c r="C4" s="4" t="s">
        <v>819</v>
      </c>
      <c r="D4" s="4" t="s">
        <v>820</v>
      </c>
      <c r="E4" s="4" t="s">
        <v>825</v>
      </c>
      <c r="F4" s="4" t="s">
        <v>826</v>
      </c>
    </row>
    <row r="5" ht="42" customHeight="1" spans="1:6" s="4" customFormat="1" x14ac:dyDescent="0.25">
      <c r="A5" s="8" t="s">
        <v>65</v>
      </c>
      <c r="B5" s="4" t="s">
        <v>29</v>
      </c>
      <c r="C5" s="4" t="s">
        <v>819</v>
      </c>
      <c r="D5" s="4" t="s">
        <v>820</v>
      </c>
      <c r="E5" s="4" t="s">
        <v>827</v>
      </c>
      <c r="F5" s="4" t="s">
        <v>828</v>
      </c>
    </row>
    <row r="6" ht="42" customHeight="1" spans="1:6" s="4" customFormat="1" x14ac:dyDescent="0.25">
      <c r="A6" s="8" t="s">
        <v>66</v>
      </c>
      <c r="B6" s="4" t="s">
        <v>29</v>
      </c>
      <c r="C6" s="4" t="s">
        <v>819</v>
      </c>
      <c r="D6" s="4" t="s">
        <v>820</v>
      </c>
      <c r="E6" s="4" t="s">
        <v>829</v>
      </c>
      <c r="F6" s="4" t="s">
        <v>830</v>
      </c>
    </row>
    <row r="7" ht="42" customHeight="1" spans="1:6" s="4" customFormat="1" x14ac:dyDescent="0.25">
      <c r="A7" s="8" t="s">
        <v>67</v>
      </c>
      <c r="B7" s="4" t="s">
        <v>14</v>
      </c>
      <c r="C7" s="4" t="s">
        <v>819</v>
      </c>
      <c r="D7" s="4" t="s">
        <v>820</v>
      </c>
      <c r="E7" s="4" t="s">
        <v>831</v>
      </c>
      <c r="F7" s="4" t="s">
        <v>832</v>
      </c>
    </row>
    <row r="8" ht="42" customHeight="1" spans="1:6" s="4" customFormat="1" x14ac:dyDescent="0.25">
      <c r="A8" s="8" t="s">
        <v>343</v>
      </c>
      <c r="B8" s="4" t="s">
        <v>833</v>
      </c>
      <c r="C8" s="4" t="s">
        <v>819</v>
      </c>
      <c r="D8" s="4" t="s">
        <v>820</v>
      </c>
      <c r="E8" s="4" t="s">
        <v>834</v>
      </c>
      <c r="F8" s="4" t="s">
        <v>835</v>
      </c>
    </row>
    <row r="9" ht="42" customHeight="1" spans="1:6" s="4" customFormat="1" x14ac:dyDescent="0.25">
      <c r="A9" s="8" t="s">
        <v>68</v>
      </c>
      <c r="B9" s="4" t="s">
        <v>29</v>
      </c>
      <c r="C9" s="4" t="s">
        <v>819</v>
      </c>
      <c r="D9" s="4" t="s">
        <v>820</v>
      </c>
      <c r="E9" s="4" t="s">
        <v>836</v>
      </c>
      <c r="F9" s="4" t="s">
        <v>837</v>
      </c>
    </row>
    <row r="10" ht="42" customHeight="1" spans="1:6" s="4" customFormat="1" x14ac:dyDescent="0.25">
      <c r="A10" s="8" t="s">
        <v>838</v>
      </c>
      <c r="B10" s="4" t="s">
        <v>29</v>
      </c>
      <c r="C10" s="4" t="s">
        <v>819</v>
      </c>
      <c r="D10" s="4" t="s">
        <v>820</v>
      </c>
      <c r="E10" s="4" t="s">
        <v>839</v>
      </c>
      <c r="F10" s="4" t="s">
        <v>424</v>
      </c>
    </row>
    <row r="11" ht="42" customHeight="1" spans="1:6" s="4" customFormat="1" x14ac:dyDescent="0.25">
      <c r="A11" s="8" t="s">
        <v>345</v>
      </c>
      <c r="B11" s="4" t="s">
        <v>833</v>
      </c>
      <c r="C11" s="4" t="s">
        <v>819</v>
      </c>
      <c r="D11" s="4" t="s">
        <v>820</v>
      </c>
      <c r="E11" s="4" t="s">
        <v>840</v>
      </c>
      <c r="F11" s="4" t="s">
        <v>841</v>
      </c>
    </row>
    <row r="12" ht="42" customHeight="1" spans="1:6" s="4" customFormat="1" x14ac:dyDescent="0.25">
      <c r="A12" s="8" t="s">
        <v>71</v>
      </c>
      <c r="B12" s="4" t="s">
        <v>29</v>
      </c>
      <c r="C12" s="4" t="s">
        <v>819</v>
      </c>
      <c r="D12" s="4" t="s">
        <v>820</v>
      </c>
      <c r="E12" s="4" t="s">
        <v>842</v>
      </c>
      <c r="F12" s="4" t="s">
        <v>90</v>
      </c>
    </row>
    <row r="13" ht="42" customHeight="1" spans="1:6" s="4" customFormat="1" x14ac:dyDescent="0.25">
      <c r="A13" s="8" t="s">
        <v>72</v>
      </c>
      <c r="B13" s="4" t="s">
        <v>29</v>
      </c>
      <c r="C13" s="4" t="s">
        <v>819</v>
      </c>
      <c r="D13" s="4" t="s">
        <v>820</v>
      </c>
      <c r="E13" s="4" t="s">
        <v>843</v>
      </c>
      <c r="F13" s="4" t="s">
        <v>91</v>
      </c>
    </row>
    <row r="14" ht="42" customHeight="1" spans="1:6" s="4" customFormat="1" x14ac:dyDescent="0.25">
      <c r="A14" s="8" t="s">
        <v>73</v>
      </c>
      <c r="B14" s="4" t="s">
        <v>14</v>
      </c>
      <c r="C14" s="4" t="s">
        <v>819</v>
      </c>
      <c r="D14" s="4" t="s">
        <v>820</v>
      </c>
      <c r="E14" s="4" t="s">
        <v>844</v>
      </c>
      <c r="F14" s="4" t="s">
        <v>92</v>
      </c>
    </row>
    <row r="15" ht="42" customHeight="1" spans="1:6" s="4" customFormat="1" x14ac:dyDescent="0.25">
      <c r="A15" s="8" t="s">
        <v>74</v>
      </c>
      <c r="B15" s="4" t="s">
        <v>14</v>
      </c>
      <c r="C15" s="4" t="s">
        <v>819</v>
      </c>
      <c r="D15" s="4" t="s">
        <v>820</v>
      </c>
      <c r="E15" s="4" t="s">
        <v>845</v>
      </c>
      <c r="F15" s="4" t="s">
        <v>231</v>
      </c>
    </row>
    <row r="16" ht="42" customHeight="1" spans="1:6" s="4" customFormat="1" x14ac:dyDescent="0.25">
      <c r="A16" s="8" t="s">
        <v>27</v>
      </c>
      <c r="B16" s="4" t="s">
        <v>29</v>
      </c>
      <c r="C16" s="4" t="s">
        <v>819</v>
      </c>
      <c r="D16" s="4" t="s">
        <v>820</v>
      </c>
      <c r="E16" s="4" t="s">
        <v>846</v>
      </c>
      <c r="F16" s="4" t="s">
        <v>847</v>
      </c>
    </row>
    <row r="17" ht="42" customHeight="1" spans="1:6" s="4" customFormat="1" x14ac:dyDescent="0.25">
      <c r="A17" s="8" t="s">
        <v>30</v>
      </c>
      <c r="B17" s="4" t="s">
        <v>29</v>
      </c>
      <c r="C17" s="4" t="s">
        <v>819</v>
      </c>
      <c r="D17" s="4" t="s">
        <v>820</v>
      </c>
      <c r="E17" s="4" t="s">
        <v>848</v>
      </c>
      <c r="F17" s="4" t="s">
        <v>849</v>
      </c>
    </row>
    <row r="18" ht="42" customHeight="1" spans="1:6" s="4" customFormat="1" x14ac:dyDescent="0.25">
      <c r="A18" s="8" t="s">
        <v>76</v>
      </c>
      <c r="B18" s="4" t="s">
        <v>14</v>
      </c>
      <c r="C18" s="4" t="s">
        <v>819</v>
      </c>
      <c r="D18" s="4" t="s">
        <v>820</v>
      </c>
      <c r="E18" s="4" t="s">
        <v>850</v>
      </c>
      <c r="F18" s="4" t="s">
        <v>851</v>
      </c>
    </row>
    <row r="19" ht="42" customHeight="1" spans="1:6" s="4" customFormat="1" x14ac:dyDescent="0.25">
      <c r="A19" s="8" t="s">
        <v>347</v>
      </c>
      <c r="B19" s="4" t="s">
        <v>833</v>
      </c>
      <c r="C19" s="4" t="s">
        <v>820</v>
      </c>
      <c r="D19" s="4" t="s">
        <v>820</v>
      </c>
      <c r="E19" s="4" t="s">
        <v>852</v>
      </c>
      <c r="F19" s="4" t="s">
        <v>853</v>
      </c>
    </row>
    <row r="20" ht="42" customHeight="1" spans="1:6" s="4" customFormat="1" x14ac:dyDescent="0.25">
      <c r="A20" s="8" t="s">
        <v>348</v>
      </c>
      <c r="B20" s="4" t="s">
        <v>833</v>
      </c>
      <c r="C20" s="4" t="s">
        <v>820</v>
      </c>
      <c r="D20" s="4" t="s">
        <v>854</v>
      </c>
      <c r="E20" s="4" t="s">
        <v>855</v>
      </c>
      <c r="F20" s="4" t="s">
        <v>856</v>
      </c>
    </row>
    <row r="21" ht="42" customHeight="1" spans="1:6" s="4" customFormat="1" x14ac:dyDescent="0.25">
      <c r="A21" s="8" t="s">
        <v>857</v>
      </c>
      <c r="B21" s="4" t="s">
        <v>833</v>
      </c>
      <c r="C21" s="4" t="s">
        <v>820</v>
      </c>
      <c r="D21" s="4" t="s">
        <v>854</v>
      </c>
      <c r="E21" s="4" t="s">
        <v>858</v>
      </c>
      <c r="F21" s="4" t="s">
        <v>859</v>
      </c>
    </row>
    <row r="22" ht="42" customHeight="1" spans="1:6" s="4" customFormat="1" x14ac:dyDescent="0.25">
      <c r="A22" s="8" t="s">
        <v>351</v>
      </c>
      <c r="B22" s="4" t="s">
        <v>833</v>
      </c>
      <c r="C22" s="4" t="s">
        <v>820</v>
      </c>
      <c r="D22" s="4" t="s">
        <v>860</v>
      </c>
      <c r="E22" s="4" t="s">
        <v>861</v>
      </c>
      <c r="F22" s="4" t="s">
        <v>862</v>
      </c>
    </row>
    <row r="23" ht="42" customHeight="1" spans="1:6" s="4" customFormat="1" x14ac:dyDescent="0.25">
      <c r="A23" s="8" t="s">
        <v>352</v>
      </c>
      <c r="B23" s="4" t="s">
        <v>833</v>
      </c>
      <c r="C23" s="4" t="s">
        <v>820</v>
      </c>
      <c r="D23" s="4" t="s">
        <v>819</v>
      </c>
      <c r="E23" s="4" t="s">
        <v>863</v>
      </c>
      <c r="F23" s="4" t="s">
        <v>864</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Guardrails UI/UX Test Cases</dc:title>
  <dc:subject>Human-readable automated and manual UI/UX coverage for June Guardrails</dc:subject>
  <dc:description>{"schemaVersion":1,"module":"Guardrails","generatedAt":"2026-09-23T12:59:47.484Z","automatedCount":30,"manualCount":34,"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guardrails-data-driven.xlsx":"de1a25c8447afbd29f65e266cbfde2106c51e10a164211f4837ee05fdba09b72","config/environments.json":"90fe37e6e777c7704ce19b19b103f9b48b12d74aae18e677c026ef7163c51661"},"workbookHash":"a908581e9a0f346c48734d224b3e76004653b2d31dad85863001a719e9af322b"}</dc:description>
  <cp:keywords/>
  <cp:category/>
  <cp:lastModifiedBy>QA Copilot Playwright</cp:lastModifiedBy>
  <dcterms:created xsi:type="dcterms:W3CDTF">2026-09-23T12:59:47Z</dcterms:created>
  <dcterms:modified xsi:type="dcterms:W3CDTF">2026-09-23T12:59:47Z</dcterms:modified>
</cp:coreProperties>
</file>