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<sst xmlns="http://schemas.openxmlformats.org/spreadsheetml/2006/main" count="1629" uniqueCount="786">
  <si>
    <t>Connectors UI/UX Test Suite</t>
  </si>
  <si>
    <t>Human-readable test design for review, execution and stakeholder sharing</t>
  </si>
  <si>
    <t>Topic</t>
  </si>
  <si>
    <t>Guidance</t>
  </si>
  <si>
    <t>Applies To</t>
  </si>
  <si>
    <t>Purpose</t>
  </si>
  <si>
    <t>Independent Connectors UI/UX test-case workbook. Scope: Connector discovery, Information and Access wizard, endpoint configuration, permissions, create/update feedback and safe delete cancellation.</t>
  </si>
  <si>
    <t>All sheets</t>
  </si>
  <si>
    <t>Coverage</t>
  </si>
  <si>
    <t>24 current automated cases plus 34 additional manual UI/UX cases.</t>
  </si>
  <si>
    <t>Summary</t>
  </si>
  <si>
    <t>Existing data preserved</t>
  </si>
  <si>
    <t>The runtime workbook test-data/connectors-data-driven.xlsx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</si>
  <si>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</si>
  <si>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</si>
  <si>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</si>
  <si>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</si>
  <si>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</si>
  <si>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</si>
  <si>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connectors.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</si>
  <si>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</si>
  <si>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</si>
  <si>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</si>
  <si>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</si>
  <si>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</si>
  <si>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</si>
  <si>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</si>
  <si>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</si>
  <si>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</si>
  <si>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</si>
  <si>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</si>
  <si>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</si>
  <si>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</si>
  <si>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</si>
  <si>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</si>
  <si>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</si>
  <si>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</si>
  <si>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</si>
  <si>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</si>
  <si>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</si>
  <si>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</si>
  <si>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</si>
  <si>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</si>
  <si>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</si>
  <si>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</si>
  <si>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</si>
  <si>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</si>
  <si>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</si>
  <si>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</si>
  <si>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</si>
  <si>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</si>
  <si>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</si>
  <si>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</si>
  <si>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</si>
  <si>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</si>
  <si>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</si>
  <si>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</si>
  <si>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</si>
  <si>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</si>
  <si>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</si>
  <si>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</si>
  <si>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</si>
  <si>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</si>
  <si>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</si>
  <si>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</si>
  <si>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</si>
  <si>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</si>
  <si>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</si>
  <si>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</si>
  <si>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</si>
  <si>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</si>
  <si>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</si>
  <si>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</si>
  <si>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</si>
  <si>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</si>
  <si>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</si>
  <si>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</si>
  <si>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</si>
  <si>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</si>
  <si>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CN-001</t>
  </si>
  <si>
    <t>Connectors</t>
  </si>
  <si>
    <t>Connector navigation</t>
  </si>
  <si>
    <t>Open the Connectors module</t>
  </si>
  <si>
    <t>Verify authenticated entry to the Connectors module.</t>
  </si>
  <si>
    <t>1. A valid authenticated June session is available.</t>
  </si>
  <si>
    <t xml:space="preserve">1. Open Connectors.
2. Verify its heading, search and Create Connector action.</t>
  </si>
  <si>
    <t>No additional row data. Uses shared module settings and current page state.</t>
  </si>
  <si>
    <t>The Connectors page opens in the authenticated business and is ready for interaction.</t>
  </si>
  <si>
    <t>Functional</t>
  </si>
  <si>
    <t>Positive</t>
  </si>
  <si>
    <t>P1</t>
  </si>
  <si>
    <t>Major</t>
  </si>
  <si>
    <t>Automated</t>
  </si>
  <si>
    <t>NO</t>
  </si>
  <si>
    <t>Configured DEV / UAT / LIVE</t>
  </si>
  <si>
    <t>Functional, Smoke, Production Smoke, Sanity, Regression, UAT</t>
  </si>
  <si>
    <t>@functional @smoke @prod-smoke @sanity @regression @uat</t>
  </si>
  <si>
    <t>flow, smoke, connectors, navigation</t>
  </si>
  <si>
    <t>connectors-data-driven.xlsx</t>
  </si>
  <si>
    <t/>
  </si>
  <si>
    <t>CN-002</t>
  </si>
  <si>
    <t>Connector discovery</t>
  </si>
  <si>
    <t>Search for a visible connector and clear the search</t>
  </si>
  <si>
    <t>Verify recorded search behavior against live business data.</t>
  </si>
  <si>
    <t xml:space="preserve">1. A valid authenticated June session is available.
2. At least one connector is visible.</t>
  </si>
  <si>
    <t xml:space="preserve">1. Capture the visible connector names.
2. Search with one visible connector name.
3. Verify every result matches.
4. Clear search and verify the original list returns.</t>
  </si>
  <si>
    <t>Search returns only matching connectors and clearing restores the original list.</t>
  </si>
  <si>
    <t>Functional, Sanity, Regression, UAT</t>
  </si>
  <si>
    <t>@functional @sanity @regression @uat</t>
  </si>
  <si>
    <t>flow, connectors, search, regression</t>
  </si>
  <si>
    <t>CN-003</t>
  </si>
  <si>
    <t>Apply every date filter, layout and refresh</t>
  </si>
  <si>
    <t>Exercise all date filters, both layouts and the recorded refresh action.</t>
  </si>
  <si>
    <t xml:space="preserve">1. Apply Today, Yesterday, Past 7 days and Last Month.
2. Return to Connectors after filtering.
3. Select grid and list layouts.
4. Refresh the connector list.</t>
  </si>
  <si>
    <t xml:space="preserve">Date Filters: Today, Yesterday, Past 7 days, Last Month
View Indexes: 0, 1
Refresh Index: 2</t>
  </si>
  <si>
    <t>Every date filter closes, both layouts select, and refresh completes.</t>
  </si>
  <si>
    <t>Functional, Regression</t>
  </si>
  <si>
    <t>@functional @regression</t>
  </si>
  <si>
    <t>flow, connectors, filter, layout, regression</t>
  </si>
  <si>
    <t>CN-004</t>
  </si>
  <si>
    <t>Connector creation form</t>
  </si>
  <si>
    <t>Show the recorded connector fields and allowed countries</t>
  </si>
  <si>
    <t>Verify form controls, country choices and PNG guidance.</t>
  </si>
  <si>
    <t xml:space="preserve">1. Open Create Connector.
2. Verify name, server URL, config, country, description and icon controls.
3. Verify the three required controls.
4. Verify India, USA and UAE are offered.
5. Verify PNG and 40KB icon guidance.
6. Cancel.</t>
  </si>
  <si>
    <t xml:space="preserve">Countries: India, USA, UAE
Icon Accept Includes: image/png
Icon Guidance: PNG, 40KB</t>
  </si>
  <si>
    <t>The recorded connector form and its country and icon rules are visible.</t>
  </si>
  <si>
    <t>Functional, Sanity, Regression, Integration, UAT</t>
  </si>
  <si>
    <t>@functional @sanity @regression @integration @uat</t>
  </si>
  <si>
    <t>flow, connectors, create, form, country, upload</t>
  </si>
  <si>
    <t>CN-005</t>
  </si>
  <si>
    <t>Connector creation validation</t>
  </si>
  <si>
    <t>Validate every required connector field</t>
  </si>
  <si>
    <t>Exercise empty, missing and whitespace-only required values.</t>
  </si>
  <si>
    <t xml:space="preserve">1. Try Next with all required fields empty.
2. Try Next with name, server URL and config missing one at a time.
3. Try whitespace-only values.
4. Enter valid values and advance to Access.
5. Cancel.</t>
  </si>
  <si>
    <t xml:space="preserve">Invalid Information: 1) Label=all required fields are empty, Name=, Server Url=, Config=; 2) Label=name is missing, Name=, Server Url={{SERVER_URL}}, Config={{CONFIG_JSON}}; 3) Label=server URL is missing, Name={{DRAFT_NAME}}, Server Url=, Config={{CONFIG_JSON}}; 4) Label=config is missing, Name={{DRAFT_NAME}}, Server Url={{SERVER_URL}}, Config=; 5) Label=required values contain whitespace only, Name=   , Server Url=   , Config=   </t>
  </si>
  <si>
    <t>Invalid combinations remain on Information and valid data advances to Access.</t>
  </si>
  <si>
    <t>Negative</t>
  </si>
  <si>
    <t>flow, negative, connectors, validation, required-fields</t>
  </si>
  <si>
    <t>CN-006</t>
  </si>
  <si>
    <t>Connector endpoint security</t>
  </si>
  <si>
    <t>Reject malformed and unsafe connector server URLs</t>
  </si>
  <si>
    <t>Block malformed, executable, local-file, credential-bearing and internal URLs.</t>
  </si>
  <si>
    <t xml:space="preserve">1. Prepare otherwise-valid Information.
2. Try malformed text, javascript and file schemes.
3. Try embedded credentials.
4. Try localhost, private and link-local addresses.</t>
  </si>
  <si>
    <t>Invalid Server Urls: not-a-valid-url, javascript:alert(1), file:///C:/Windows/win.ini, https://user:password@example.com/hook, http://localhost:8080/hook, http://127.0.0.1/hook, http://10.0.0.1/hook, http://169.254.169.254/latest/meta-data</t>
  </si>
  <si>
    <t>Every malformed or unsafe server URL remains on Information and cannot advance.</t>
  </si>
  <si>
    <t>Negative + Security</t>
  </si>
  <si>
    <t>Critical</t>
  </si>
  <si>
    <t>Functional, Non-Functional, Regression, Integration, Security</t>
  </si>
  <si>
    <t>@functional @non-functional @regression @integration @security</t>
  </si>
  <si>
    <t>flow, negative, security, connectors, url, ssrf</t>
  </si>
  <si>
    <t>CN-007</t>
  </si>
  <si>
    <t>Connector cancellation</t>
  </si>
  <si>
    <t>Cancel a connector draft without persistence</t>
  </si>
  <si>
    <t>Verify cancelling a uniquely named draft creates no connector.</t>
  </si>
  <si>
    <t xml:space="preserve">1. Enter a unique valid draft.
2. Cancel.
3. Search for the draft name.</t>
  </si>
  <si>
    <t>The cancelled draft is absent from the connector list.</t>
  </si>
  <si>
    <t>Positive + Negative</t>
  </si>
  <si>
    <t>flow, connectors, cancel, persistence</t>
  </si>
  <si>
    <t>CN-008</t>
  </si>
  <si>
    <t>Connector country configuration</t>
  </si>
  <si>
    <t>Select each supported connector country</t>
  </si>
  <si>
    <t>Verify the recorded India, USA and UAE allowlist.</t>
  </si>
  <si>
    <t xml:space="preserve">1. Open Create Connector.
2. Select India, USA and UAE.
3. Verify each selection.
4. Restore the configured country and cancel.</t>
  </si>
  <si>
    <t>Countries: India, USA, UAE</t>
  </si>
  <si>
    <t>Only the recorded countries can be selected and each is reflected.</t>
  </si>
  <si>
    <t>flow, positive, connectors, country, allowlist</t>
  </si>
  <si>
    <t>CN-009</t>
  </si>
  <si>
    <t>Connector wizard</t>
  </si>
  <si>
    <t>Preserve connector values across Back and Next</t>
  </si>
  <si>
    <t>Verify navigation retains valid Information values.</t>
  </si>
  <si>
    <t xml:space="preserve">1. Enter valid Information.
2. Advance to Access.
3. Use Back and verify every value.
4. Advance again and cancel.</t>
  </si>
  <si>
    <t>All valid Information values survive Back and Next navigation.</t>
  </si>
  <si>
    <t>flow, positive, connectors, wizard, data-integrity</t>
  </si>
  <si>
    <t>CN-010</t>
  </si>
  <si>
    <t>Connector access</t>
  </si>
  <si>
    <t>Validate Access controls and cancel without permissions</t>
  </si>
  <si>
    <t>Verify employee search, selected-user count and Owner without saving.</t>
  </si>
  <si>
    <t xml:space="preserve">1. Prepare a valid draft and open Access.
2. Enter and clear employee search.
3. Verify Selected Users is zero and Owner is visible.
4. Cancel.</t>
  </si>
  <si>
    <t xml:space="preserve">Employee Search: qa-employee-does-not-exist@example.invalid
Selected Users Text: Selected Users (0)
Owner Text: Owner</t>
  </si>
  <si>
    <t>Access controls work without granting or persisting additional access.</t>
  </si>
  <si>
    <t>flow, connectors, access, cancel, authorization</t>
  </si>
  <si>
    <t>CN-011</t>
  </si>
  <si>
    <t>Connector creation</t>
  </si>
  <si>
    <t>Create a date-time-stamped connector</t>
  </si>
  <si>
    <t>Create real synthetic connector data using the run timestamp.</t>
  </si>
  <si>
    <t xml:space="preserve">1. A valid authenticated June session is available.
2. The active business permits QA connector creation.</t>
  </si>
  <si>
    <t xml:space="preserve">1. Enter the unique run-timestamp connector data.
2. Advance to Access and verify Owner.
3. Create the connector.
4. Search for the exact name.</t>
  </si>
  <si>
    <t>Create Button: Create</t>
  </si>
  <si>
    <t>Exactly one date-time-stamped connector is created and visible.</t>
  </si>
  <si>
    <t>End to end</t>
  </si>
  <si>
    <t>YES</t>
  </si>
  <si>
    <t>Functional, Regression, End-to-End, Integration</t>
  </si>
  <si>
    <t>@functional @regression @e2e @integration</t>
  </si>
  <si>
    <t>flow, write, connectors, create, date-time</t>
  </si>
  <si>
    <t>CN-012</t>
  </si>
  <si>
    <t>Connector creation verification</t>
  </si>
  <si>
    <t>Verify every persisted value after connector creation</t>
  </si>
  <si>
    <t>Reopen the connector and compare saved Information and Access values.</t>
  </si>
  <si>
    <t>1. CN-011 created the connector in the same run.</t>
  </si>
  <si>
    <t xml:space="preserve">1. Open the created connector for editing.
2. Verify name, URL, config, country and description.
3. Verify Owner and zero selected users on Access.
4. Cancel.</t>
  </si>
  <si>
    <t xml:space="preserve">Selected Users Text: Selected Users (0)
Owner Text: Owner</t>
  </si>
  <si>
    <t>Every value saved during connector creation persists exactly.</t>
  </si>
  <si>
    <t>flow, connectors, create, persistence, verification</t>
  </si>
  <si>
    <t>CN-013</t>
  </si>
  <si>
    <t>Find the created connector by exact unique name</t>
  </si>
  <si>
    <t>Verify exact search locates only this run connector.</t>
  </si>
  <si>
    <t xml:space="preserve">1. Search for the complete name.
2. Verify its card is visible.
3. Verify unrelated cards are absent.
4. Clear search.</t>
  </si>
  <si>
    <t>Exact search returns the created connector without unrelated results.</t>
  </si>
  <si>
    <t>Functional, Regression, End-to-End</t>
  </si>
  <si>
    <t>@functional @regression @e2e</t>
  </si>
  <si>
    <t>flow, connectors, search, created-data</t>
  </si>
  <si>
    <t>CN-014</t>
  </si>
  <si>
    <t>Connector edit validation</t>
  </si>
  <si>
    <t>Validate required connector fields while editing</t>
  </si>
  <si>
    <t>Confirm required rules apply in edit mode without saving invalid values.</t>
  </si>
  <si>
    <t xml:space="preserve">1. Open the created connector for editing.
2. Clear name, server URL and config one at a time.
3. Verify each edit remains on Information.
4. Restore values and cancel.</t>
  </si>
  <si>
    <t xml:space="preserve">Invalid Edits: 1) Label=name is empty, Name=, Server Url={{SERVER_URL}}, Config={{CONFIG_JSON}}; 2) Label=server URL is empty, Name={{CONNECTOR_NAME}}, Server Url=, Config={{CONFIG_JSON}}; 3) Label=config is empty, Name={{CONNECTOR_NAME}}, Server Url={{SERVER_URL}}, Config=
Update Button: Update</t>
  </si>
  <si>
    <t>Edit mode blocks missing required values and cancellation preserves the connector.</t>
  </si>
  <si>
    <t>flow, negative, connectors, edit, validation</t>
  </si>
  <si>
    <t>CN-015</t>
  </si>
  <si>
    <t>Connector update</t>
  </si>
  <si>
    <t>Rename and update the created connector</t>
  </si>
  <si>
    <t>Perform the manually recorded edit using timestamped values.</t>
  </si>
  <si>
    <t xml:space="preserve">1. Open the connector for editing.
2. Replace its name, URL and description.
3. Advance to Access.
4. Submit Update.
5. Search for the updated name.</t>
  </si>
  <si>
    <t>Update Button: Update</t>
  </si>
  <si>
    <t>The connector is renamed and its updated card remains visible.</t>
  </si>
  <si>
    <t>flow, write, connectors, edit, update, date-time</t>
  </si>
  <si>
    <t>CN-016</t>
  </si>
  <si>
    <t>Connector update verification</t>
  </si>
  <si>
    <t>Verify every persisted connector update</t>
  </si>
  <si>
    <t>Reopen the renamed connector and compare changed and unchanged values.</t>
  </si>
  <si>
    <t>1. CN-015 updated the connector in the same run.</t>
  </si>
  <si>
    <t xml:space="preserve">1. Open the updated connector.
2. Verify updated name, URL and description.
3. Verify config and country are unchanged.
4. Verify Access and cancel.</t>
  </si>
  <si>
    <t>All connector updates persist and unchanged values remain intact.</t>
  </si>
  <si>
    <t>flow, connectors, update, persistence, verification</t>
  </si>
  <si>
    <t>CN-017</t>
  </si>
  <si>
    <t>Connector actions</t>
  </si>
  <si>
    <t>Restrict connector card actions to Edit and Delete</t>
  </si>
  <si>
    <t>Verify the recorded action menu on the run-created connector.</t>
  </si>
  <si>
    <t xml:space="preserve">1. Open the connector action menu.
2. Capture every menu item.
3. Verify Edit Connector and Delete.
4. Dismiss without selecting an action.</t>
  </si>
  <si>
    <t>Expected Menu Items: Edit Connector, Delete</t>
  </si>
  <si>
    <t>The connector action menu contains exactly Edit Connector and Delete.</t>
  </si>
  <si>
    <t>flow, connectors, actions, allowlist</t>
  </si>
  <si>
    <t>CN-018</t>
  </si>
  <si>
    <t>Connector input security</t>
  </si>
  <si>
    <t>Escape XSS payloads in connector Information</t>
  </si>
  <si>
    <t>Confirm draft values are treated as text.</t>
  </si>
  <si>
    <t xml:space="preserve">1. Set a harmless execution marker.
2. Enter XSS-shaped name, config and description.
3. Verify no execution.
4. Cancel and verify no persistence.</t>
  </si>
  <si>
    <t>Xss Payload: {{XSS_MARKER}}</t>
  </si>
  <si>
    <t>Connector Information does not execute or persist the XSS payload.</t>
  </si>
  <si>
    <t>Security</t>
  </si>
  <si>
    <t>Functional, Non-Functional, Regression, Security</t>
  </si>
  <si>
    <t>@functional @non-functional @regression @security</t>
  </si>
  <si>
    <t>flow, security, connectors, xss, input-encoding</t>
  </si>
  <si>
    <t>CN-019</t>
  </si>
  <si>
    <t>Connector search security</t>
  </si>
  <si>
    <t>Handle injection-shaped connector searches safely</t>
  </si>
  <si>
    <t>Verify SQL, NoSQL and XSS-like searches are literal.</t>
  </si>
  <si>
    <t xml:space="preserve">1. Capture the initial count.
2. Search with SQL, NoSQL and XSS-like strings.
3. Verify no execution or result expansion.
4. Clear and verify restoration.</t>
  </si>
  <si>
    <t>Search Payloads: {{SQL_INJECTION_MARKER}}, {"$ne":null}, {{XSS_MARKER}}</t>
  </si>
  <si>
    <t>Injection-shaped search input is handled as literal text without execution.</t>
  </si>
  <si>
    <t>flow, security, connectors, search, injection, xss</t>
  </si>
  <si>
    <t>CN-020</t>
  </si>
  <si>
    <t>Connector data protection</t>
  </si>
  <si>
    <t>Keep synthetic connector secrets out of URLs and closed DOM</t>
  </si>
  <si>
    <t>Verify cancelled config data is not exposed.</t>
  </si>
  <si>
    <t xml:space="preserve">1. Enter a synthetic secret into config and description.
2. Verify the URL excludes it.
3. Cancel.
4. Verify the URL and remaining DOM exclude it.</t>
  </si>
  <si>
    <t>Secret Value: {{SYNTHETIC_SECRET_PREFIX}}-{{RUN_COMPACT}}</t>
  </si>
  <si>
    <t>Synthetic draft secrets remain out of URLs and are removed after cancellation.</t>
  </si>
  <si>
    <t>flow, security, connectors, data-protection, cancel</t>
  </si>
  <si>
    <t>CN-021</t>
  </si>
  <si>
    <t>Connector access security</t>
  </si>
  <si>
    <t>Prevent access-search injection from selecting users</t>
  </si>
  <si>
    <t>Verify injected employee search cannot grant connector access.</t>
  </si>
  <si>
    <t xml:space="preserve">1. Open Access on a valid draft.
2. Enter injection-shaped employee search.
3. Verify zero selected users and Owner.
4. Cancel.</t>
  </si>
  <si>
    <t xml:space="preserve">Access Search Payload: {{SQL_INJECTION_MARKER}}
Selected Users Text: Selected Users (0)
Owner Text: Owner</t>
  </si>
  <si>
    <t>Injection-shaped access search grants no additional connector permission.</t>
  </si>
  <si>
    <t>flow, security, connectors, access, authorization</t>
  </si>
  <si>
    <t>CN-022</t>
  </si>
  <si>
    <t>Connector transport security</t>
  </si>
  <si>
    <t>Return baseline browser security headers for Connectors</t>
  </si>
  <si>
    <t>Verify HTTPS and baseline browser security headers.</t>
  </si>
  <si>
    <t xml:space="preserve">1. Open the Connectors HTTPS route.
2. Capture response headers.
3. Verify transport, anti-sniffing and browser-policy headers.
4. Verify frame protection.</t>
  </si>
  <si>
    <t xml:space="preserve">Required Headers: strict-transport-security, content-security-policy
Content Type Options: nosniff</t>
  </si>
  <si>
    <t>The Connectors document uses HTTPS and returns baseline security headers.</t>
  </si>
  <si>
    <t>flow, security, connectors, headers, https, clickjacking</t>
  </si>
  <si>
    <t>CN-023</t>
  </si>
  <si>
    <t>Connector authentication security</t>
  </si>
  <si>
    <t>Block anonymous access to Connector controls</t>
  </si>
  <si>
    <t>Open Connectors in a clean browser context.</t>
  </si>
  <si>
    <t xml:space="preserve">1. Create a context with no saved session.
2. Open Connectors.
3. Verify search and create controls are unavailable.
4. Close the context.</t>
  </si>
  <si>
    <t xml:space="preserve">Connectors Path: /connectors
Search Placeholder: Search connectors...
Create Button: Create Connector</t>
  </si>
  <si>
    <t>An anonymous browser cannot access authenticated Connector controls.</t>
  </si>
  <si>
    <t>flow, security, connectors, authentication, anonymous</t>
  </si>
  <si>
    <t>CN-024</t>
  </si>
  <si>
    <t>Connector deletion protection</t>
  </si>
  <si>
    <t>Cancel deletion and preserve the updated connector</t>
  </si>
  <si>
    <t>Open the recorded Delete confirmation, cancel it and preserve the connector.</t>
  </si>
  <si>
    <t xml:space="preserve">1. Choose Delete from the updated connector action menu.
2. Verify the confirmation dialog.
3. Cancel the confirmation.
4. Search for the updated connector.</t>
  </si>
  <si>
    <t xml:space="preserve">Cancel Button: Cancel
Delete Button: Delete</t>
  </si>
  <si>
    <t>Cancelling deletion preserves the updated connector.</t>
  </si>
  <si>
    <t>flow, connectors, delete, cancel, persistence</t>
  </si>
  <si>
    <t>Test Data / Viewport</t>
  </si>
  <si>
    <t>UX Category</t>
  </si>
  <si>
    <t>Review Method</t>
  </si>
  <si>
    <t>Recommended Environment</t>
  </si>
  <si>
    <t>Status</t>
  </si>
  <si>
    <t>Actual Result</t>
  </si>
  <si>
    <t>Executed By</t>
  </si>
  <si>
    <t>Executed On</t>
  </si>
  <si>
    <t>Defect ID</t>
  </si>
  <si>
    <t>Remarks</t>
  </si>
  <si>
    <t>CN-UX-001</t>
  </si>
  <si>
    <t>Connectors page</t>
  </si>
  <si>
    <t>Page hierarchy and landmarks make the module easy to understand</t>
  </si>
  <si>
    <t>Confirm that the Connectors heading, discovery controls, content region and primary action have a clear and accessible hierarchy.</t>
  </si>
  <si>
    <t xml:space="preserve">1. The user is authenticated in a business that can open Connectors.
2. At least one connector is visible.</t>
  </si>
  <si>
    <t xml:space="preserve">1. Open the Connectors page and inspect it before interacting.
2. Identify the page heading, search, filter, layout controls and Create Connector action.
3. Navigate through the page landmarks and controls with a keyboard.
4. Inspect alignment, spacing, contrast and the relationship between controls and results.</t>
  </si>
  <si>
    <t>Viewport: 1440 x 900; browser zoom: 100 percent; connector list containing at least one item.</t>
  </si>
  <si>
    <t>The page has one clear Connectors heading, the primary Create Connector action is prominent, discovery controls are grouped logically, content has meaningful landmarks, focus order follows the visual order, and nothing overlaps or appears detached.</t>
  </si>
  <si>
    <t>UI</t>
  </si>
  <si>
    <t>Desktop visual inspection, accessibility-tree review and baseline screenshot comparison at 1440 x 900.</t>
  </si>
  <si>
    <t>DEV, UAT and LIVE (safe visual review)</t>
  </si>
  <si>
    <t>Non-Functional, Regression, Accessibility</t>
  </si>
  <si>
    <t>@non-functional @regression @a11y @connectors @manual @ui</t>
  </si>
  <si>
    <t>Not Run</t>
  </si>
  <si>
    <t>CN-UX-002</t>
  </si>
  <si>
    <t>Connectors page loading</t>
  </si>
  <si>
    <t>Initial loading state is stable and informative</t>
  </si>
  <si>
    <t>Verify that delayed connector loading communicates progress without flashing a false empty state or causing disruptive layout movement.</t>
  </si>
  <si>
    <t xml:space="preserve">1. The user can open Connectors.
2. Browser network throttling is available.</t>
  </si>
  <si>
    <t xml:space="preserve">1. Apply a slow network profile and open Connectors.
2. Observe the area where cards or rows will appear.
3. Track layout movement until loading completes.
4. Navigate by keyboard during and immediately after loading.</t>
  </si>
  <si>
    <t>Network profile: Slow 3G or equivalent; viewport: 1440 x 900.</t>
  </si>
  <si>
    <t>A recognizable progress or skeleton state appears, it is announced without excessive repetition, the page does not briefly claim that no connectors exist, content shift is minimal, and focus does not jump when results arrive.</t>
  </si>
  <si>
    <t>UX</t>
  </si>
  <si>
    <t>Throttled-network video review with layout-shift and keyboard-focus observation.</t>
  </si>
  <si>
    <t>DEV and UAT</t>
  </si>
  <si>
    <t>@non-functional @regression @a11y @connectors @manual @ux</t>
  </si>
  <si>
    <t>CN-UX-003</t>
  </si>
  <si>
    <t>Connector list empty state</t>
  </si>
  <si>
    <t>An account with no connectors receives useful onboarding</t>
  </si>
  <si>
    <t>Ensure that the genuine zero-connector state explains what Connectors are and provides an obvious next action.</t>
  </si>
  <si>
    <t xml:space="preserve">1. A test business with no connectors is available.
2. The user has permission to view and, where applicable, create connectors.</t>
  </si>
  <si>
    <t xml:space="preserve">1. Open Connectors for the empty business.
2. Inspect the illustration, heading, explanatory text and action.
3. Navigate through the empty state using keyboard only.
4. Resize to mobile width and inspect the layout again.</t>
  </si>
  <si>
    <t>Prepared business fixture with zero connectors; viewports: 1440 x 900 and 375 x 812.</t>
  </si>
  <si>
    <t>The empty state is clearly different from loading and search no-results, explains the module in plain language, exposes only actions permitted to the user, has a logical focus order, and fits both viewports without clipping.</t>
  </si>
  <si>
    <t>Visual, keyboard and screen-reader review using a zero-connector fixture.</t>
  </si>
  <si>
    <t>DEV and UAT with prepared fixture data</t>
  </si>
  <si>
    <t>CN-UX-004</t>
  </si>
  <si>
    <t>Connector card</t>
  </si>
  <si>
    <t>Connector card content and actions are discoverable</t>
  </si>
  <si>
    <t>Assess whether users can understand each connector card and locate its actions without relying on hover alone.</t>
  </si>
  <si>
    <t xml:space="preserve">1. At least one connector is visible.
2. Grid view is active.</t>
  </si>
  <si>
    <t xml:space="preserve">1. Inspect a connector card at rest.
2. Hover over it and then focus its interactive elements with the keyboard.
3. Identify the connector name, icon and available action affordance.
4. Compare pointer and keyboard visibility of the action control.</t>
  </si>
  <si>
    <t>A normal named connector such as Exa; viewport: 1440 x 900.</t>
  </si>
  <si>
    <t>The connector name is the card primary content, icon and metadata are visually associated, the interactive region is recognizable, and the actions control is visible on keyboard focus as well as hover with an accessible name.</t>
  </si>
  <si>
    <t>Accessibility</t>
  </si>
  <si>
    <t>Pointer, keyboard and screen-reader inspection of one connector card.</t>
  </si>
  <si>
    <t>DEV, UAT and LIVE (safe interaction)</t>
  </si>
  <si>
    <t>@non-functional @regression @a11y @accessibility @connectors @manual</t>
  </si>
  <si>
    <t>CN-UX-005</t>
  </si>
  <si>
    <t>Long connector names and descriptions do not break cards</t>
  </si>
  <si>
    <t>Validate card wrapping and full-value discovery when content exceeds normal lengths.</t>
  </si>
  <si>
    <t xml:space="preserve">1. A prepared connector with a long name and description is visible.
2. Grid and list layouts are available.</t>
  </si>
  <si>
    <t xml:space="preserve">1. Inspect the prepared connector in grid view.
2. Switch to list view and inspect it again.
3. Resize from desktop to tablet and mobile widths.
4. Use keyboard and pointer methods to obtain any visually truncated full value.</t>
  </si>
  <si>
    <t>Prepared connector name longer than 80 characters and description longer than 300 characters.</t>
  </si>
  <si>
    <t>Long content wraps or truncates consistently, card heights and row alignment remain usable, controls are never covered, and every truncated value has an accessible method for obtaining the complete text.</t>
  </si>
  <si>
    <t>Responsive</t>
  </si>
  <si>
    <t>Grid/list screenshot comparison at 1440 x 900, 768 x 1024 and 375 x 812.</t>
  </si>
  <si>
    <t>P2</t>
  </si>
  <si>
    <t>Non-Functional, Regression, Responsive</t>
  </si>
  <si>
    <t>@non-functional @regression @responsive @connectors @manual</t>
  </si>
  <si>
    <t>CN-UX-006</t>
  </si>
  <si>
    <t>Grid and list layouts</t>
  </si>
  <si>
    <t>Layout changes preserve orientation and responsive usability</t>
  </si>
  <si>
    <t>Review the experience of changing layout without rechecking the automated toggle mechanics.</t>
  </si>
  <si>
    <t xml:space="preserve">1. Several connectors are visible.
2. Grid and list controls are enabled.</t>
  </si>
  <si>
    <t xml:space="preserve">1. Note the visible connectors and scroll position in grid view.
2. Change to list view and inspect reading order and information density.
3. Resize through desktop, tablet and mobile widths.
4. Navigate away and back to determine whether the documented layout preference is retained.</t>
  </si>
  <si>
    <t>At least 8 visible connectors; viewports: 1440 x 900, 768 x 1024 and 375 x 812.</t>
  </si>
  <si>
    <t>The selected layout is visually and programmatically identified, the same content remains understandable, reading order stays logical, responsive reflow introduces no horizontal page scrolling, and preference behaviour matches the documented rule.</t>
  </si>
  <si>
    <t>Manual responsive review with selected-state inspection and screenshots.</t>
  </si>
  <si>
    <t>CN-UX-007</t>
  </si>
  <si>
    <t>Connector search</t>
  </si>
  <si>
    <t>Search feedback remains stable while typing quickly</t>
  </si>
  <si>
    <t>Assess live search responsiveness, result stability and user feedback during rapid input rather than repeat exact-match correctness.</t>
  </si>
  <si>
    <t xml:space="preserve">1. The connector list contains multiple differently named connectors.
2. Search connectors is enabled.</t>
  </si>
  <si>
    <t xml:space="preserve">1. Type a connector name one character at a time at normal speed.
2. Clear it and type the same value rapidly.
3. Use Backspace repeatedly while results update.
4. Observe loading feedback, count changes and layout movement.</t>
  </si>
  <si>
    <t>Use the first visible connector name and a partial prefix of at least four characters.</t>
  </si>
  <si>
    <t>Typing remains responsive, stale results do not flash after newer input, progress is understandable if remote filtering occurs, the search field retains focus, and cards do not move in a way that triggers accidental action selection.</t>
  </si>
  <si>
    <t>Real-time interaction and video review at desktop width under normal and throttled network conditions.</t>
  </si>
  <si>
    <t>Non-Functional, Regression</t>
  </si>
  <si>
    <t>@non-functional @regression @connectors @manual @ux</t>
  </si>
  <si>
    <t>CN-UX-008</t>
  </si>
  <si>
    <t>No-result search clearly differs from an empty module</t>
  </si>
  <si>
    <t>Verify that a search with no match explains why the list is empty and provides immediate recovery.</t>
  </si>
  <si>
    <t xml:space="preserve">1. At least one connector exists before searching.
2. No date filter is active.</t>
  </si>
  <si>
    <t xml:space="preserve">1. Enter a unique value that cannot match any connector.
2. Inspect the result area and the search control.
3. Clear the query using the visible affordance or keyboard.
4. Confirm that the normal list presentation returns.</t>
  </si>
  <si>
    <t>No-match search: ZZ_NO_CONNECTOR_927451.</t>
  </si>
  <si>
    <t>A dedicated no-results message references the search context, it does not suggest that the business has never created a connector, no stale card remains actionable, and clearing the query restores the list predictably.</t>
  </si>
  <si>
    <t>Error state</t>
  </si>
  <si>
    <t>Manual empty-search review at desktop and mobile widths.</t>
  </si>
  <si>
    <t>DEV, UAT and LIVE (safe search only)</t>
  </si>
  <si>
    <t>@non-functional @regression @responsive @connectors @error-state @manual</t>
  </si>
  <si>
    <t>CN-UX-009</t>
  </si>
  <si>
    <t>Search is labelled and operable without a pointer</t>
  </si>
  <si>
    <t>Confirm that assistive-technology users can identify, operate and clear connector search.</t>
  </si>
  <si>
    <t xml:space="preserve">1. The Connectors page is loaded.
2. At least one connector is visible.</t>
  </si>
  <si>
    <t xml:space="preserve">1. Navigate to search with Tab and inspect its accessible name and focus indicator.
2. Enter a partial connector name using the keyboard.
3. Use the keyboard to clear the query.
4. Listen for any result-status announcement with a screen reader.</t>
  </si>
  <si>
    <t>Partial name from a visible connector; keyboard inputs: Tab, typing, Ctrl+A and Backspace.</t>
  </si>
  <si>
    <t>Search has a persistent accessible name, focus is clearly visible, clearing does not require a pointer, result changes are announced concisely when applicable, and focus remains in search after updates.</t>
  </si>
  <si>
    <t>Keyboard-only and screen-reader review at 1440 x 900.</t>
  </si>
  <si>
    <t>CN-UX-010</t>
  </si>
  <si>
    <t>Date filter</t>
  </si>
  <si>
    <t>Date filter menu communicates selection and supports keyboard navigation</t>
  </si>
  <si>
    <t>Review the clarity and accessibility of the Today, Yesterday, Past 7 days and Last Month menu.</t>
  </si>
  <si>
    <t xml:space="preserve">1. The Connectors page is loaded.
2. The filter control is available.</t>
  </si>
  <si>
    <t xml:space="preserve">1. Focus and open the filter menu using the keyboard.
2. Move through every date option with supported keys.
3. Choose one option and reopen the menu.
4. Dismiss with Escape and inspect the filter control after dismissal.</t>
  </si>
  <si>
    <t>Date options: Today, Yesterday, Past 7 days and Last Month.</t>
  </si>
  <si>
    <t>The filter control has an accessible name and expanded state, focus stays within the open menu, the chosen period is visibly and programmatically identifiable after selection, Escape closes the menu, and focus returns to the filter control.</t>
  </si>
  <si>
    <t>Keyboard, screen-reader and selected-state review at 1440 x 900.</t>
  </si>
  <si>
    <t>CN-UX-011</t>
  </si>
  <si>
    <t>Search and filter</t>
  </si>
  <si>
    <t>Combined search and date filter remain understandable</t>
  </si>
  <si>
    <t>Ensure users can see that two discovery constraints are active and can recover when their combination yields no results.</t>
  </si>
  <si>
    <t xml:space="preserve">1. The connector list contains data from more than one date period.
2. Search and date filter controls are available.</t>
  </si>
  <si>
    <t xml:space="preserve">1. Apply a date period that leaves at least one visible connector.
2. Search for a connector outside that filtered set.
3. Inspect the combined no-results state and active-filter indication.
4. Clear the search and then reset the date filter separately.</t>
  </si>
  <si>
    <t>Prepared connectors in current and older date periods; one known name from each period.</t>
  </si>
  <si>
    <t>Both active constraints are visible or inferable, no-results guidance explains how to recover, clearing one constraint preserves the other, and resetting both restores the unfiltered list without ambiguous hidden state.</t>
  </si>
  <si>
    <t>State-transition review with screenshots after each search and filter change.</t>
  </si>
  <si>
    <t>CN-UX-012</t>
  </si>
  <si>
    <t>Connector refresh</t>
  </si>
  <si>
    <t>Refresh progress prevents repeat activation and preserves focus</t>
  </si>
  <si>
    <t>Assess refresh feedback and interaction safety under delayed loading rather than repeat the automated refresh completion check.</t>
  </si>
  <si>
    <t xml:space="preserve">1. The Connectors page contains visible results.
2. Browser network throttling is available.</t>
  </si>
  <si>
    <t xml:space="preserve">1. Apply a slow network profile and focus Refresh with the keyboard.
2. Activate Refresh repeatedly while the first request is pending.
3. Observe control state, existing results and progress feedback.
4. Inspect focus and list position after completion.</t>
  </si>
  <si>
    <t>Network profile: Slow 3G or equivalent; connector list with at least 8 items.</t>
  </si>
  <si>
    <t>One refresh is processed, the control exposes a busy or disabled state, existing content is not replaced by a misleading empty state, focus remains meaningful, and completion does not unexpectedly reset search, filter, layout or scroll position.</t>
  </si>
  <si>
    <t>Throttled-network keyboard review with request and video observation.</t>
  </si>
  <si>
    <t>CN-UX-013</t>
  </si>
  <si>
    <t>Connector wizard dialog</t>
  </si>
  <si>
    <t>Create wizard manages focus and the background correctly</t>
  </si>
  <si>
    <t>Verify modal focus placement, containment and restoration without rechecking whether the form opens.</t>
  </si>
  <si>
    <t xml:space="preserve">1. The Connectors page is loaded.
2. Create Connector is enabled.</t>
  </si>
  <si>
    <t xml:space="preserve">1. Focus Create Connector and open the wizard with the keyboard.
2. Inspect the first focused element and dialog accessible name.
3. Tab and Shift+Tab through all controls to test focus containment.
4. Cancel the wizard and inspect where focus returns.</t>
  </si>
  <si>
    <t>Keyboard inputs: Tab, Shift+Tab, Enter and Escape where supported; no form submission.</t>
  </si>
  <si>
    <t>The dialog has a meaningful accessible name, initial focus lands on a useful control, the background is inert, focus cannot escape the modal while open, and closing restores focus to Create Connector.</t>
  </si>
  <si>
    <t>Keyboard-only, screen-reader and accessibility-tree review at 1440 x 900.</t>
  </si>
  <si>
    <t>P0</t>
  </si>
  <si>
    <t>DEV, UAT and LIVE (safe open and cancel only)</t>
  </si>
  <si>
    <t>CN-UX-014</t>
  </si>
  <si>
    <t>Connector wizard navigation</t>
  </si>
  <si>
    <t>Information and Access steps communicate position and progress</t>
  </si>
  <si>
    <t>Ensure users understand the current wizard step and the relationship between tabs, panels and navigation actions.</t>
  </si>
  <si>
    <t xml:space="preserve">1. The Create Connector wizard is open.
2. Safe valid draft data is available to reach Access.</t>
  </si>
  <si>
    <t xml:space="preserve">1. Inspect Information as the initial step.
2. Enter safe draft values and move to Access.
3. Inspect active, completed and available step styling and screen-reader announcements.
4. Use Back and inspect whether the current step remains obvious.</t>
  </si>
  <si>
    <t>Synthetic draft name, HTTPS example.com URL, valid JSON config, country India and non-sensitive description.</t>
  </si>
  <si>
    <t>Exactly one step is identified as active, tab and panel relationships are programmatic, Next and Back labels describe navigation, completed or visited styling is understandable without colour alone, and the dialog title remains available on both steps.</t>
  </si>
  <si>
    <t>Visual, keyboard and screen-reader review of both wizard steps.</t>
  </si>
  <si>
    <t>DEV, UAT and LIVE (safe draft and cancel)</t>
  </si>
  <si>
    <t>CN-UX-015</t>
  </si>
  <si>
    <t>Connector wizard layout</t>
  </si>
  <si>
    <t>Wizard content remains reachable on mobile and at 200 percent zoom</t>
  </si>
  <si>
    <t>Validate modal reflow, scrolling and fixed actions when available space is constrained.</t>
  </si>
  <si>
    <t xml:space="preserve">1. The Create Connector wizard can be opened.
2. Mobile viewport emulation and browser zoom controls are available.</t>
  </si>
  <si>
    <t xml:space="preserve">1. Open Information at 375 x 812 and inspect every field and action.
2. Display the virtual keyboard while editing a lower field.
3. Open Access and inspect its search, user list and actions.
4. Repeat on desktop at 200 percent zoom.</t>
  </si>
  <si>
    <t>Viewports: 375 x 812 and 1440 x 900; desktop zoom: 200 percent.</t>
  </si>
  <si>
    <t>Dialog title, tabs, fields and actions stay reachable through intentional internal scrolling, the virtual keyboard does not permanently hide the focused field or action, no horizontal page scrolling occurs, and background content does not scroll instead of the dialog.</t>
  </si>
  <si>
    <t>Mobile emulation and 200 percent zoom visual/keyboard review of both steps.</t>
  </si>
  <si>
    <t>Non-Functional, Regression, Accessibility, Responsive</t>
  </si>
  <si>
    <t>@non-functional @regression @a11y @responsive @connectors @manual</t>
  </si>
  <si>
    <t>CN-UX-016</t>
  </si>
  <si>
    <t>Information form</t>
  </si>
  <si>
    <t>Labels, required markers and guidance remain understandable</t>
  </si>
  <si>
    <t>Review whether every field purpose and requirement is available visually and programmatically without relying only on placeholders.</t>
  </si>
  <si>
    <t xml:space="preserve">1. The Create Connector wizard is open on Information.
2. No data has been entered.</t>
  </si>
  <si>
    <t xml:space="preserve">1. Inspect name, server URL, config, country, description and icon controls.
2. Compare visible labels, required markers, examples and helper text.
3. Navigate each field with a screen reader.
4. Increase zoom and inspect helper-text association and contrast.</t>
  </si>
  <si>
    <t>Information step with all fields empty; browser zoom: 100 and 200 percent.</t>
  </si>
  <si>
    <t>Each control has a persistent accessible label, required fields are identified in text and programmatically, optional fields are distinguishable, examples do not replace labels, helper text is associated with its control, and guidance meets readable contrast and reflow expectations.</t>
  </si>
  <si>
    <t>Label/description accessibility-tree review plus visual contrast and zoom inspection.</t>
  </si>
  <si>
    <t>@non-functional @regression @a11y @responsive @accessibility @connectors @manual</t>
  </si>
  <si>
    <t>CN-UX-017</t>
  </si>
  <si>
    <t>Information validation feedback</t>
  </si>
  <si>
    <t>Validation errors are specific, announced and easy to correct</t>
  </si>
  <si>
    <t>Assess error presentation and recovery without repeating the automated required-field blocking assertions.</t>
  </si>
  <si>
    <t xml:space="preserve">1. The wizard is open on Information.
2. All required fields are empty.</t>
  </si>
  <si>
    <t xml:space="preserve">1. Attempt to continue with required values missing.
2. Inspect focus placement, summary behaviour and each field message.
3. Correct one invalid field and leave the others invalid.
4. Submit again and inspect which messages remain.</t>
  </si>
  <si>
    <t>Missing connector name, server URL and config; then correct connector name only.</t>
  </si>
  <si>
    <t>Focus moves to the first actionable error or an accessible error summary, every message identifies the field and correction, invalid controls expose their state programmatically, corrected errors clear independently, and remaining errors are not lost.</t>
  </si>
  <si>
    <t>Keyboard, screen-reader and visual validation review with incremental correction.</t>
  </si>
  <si>
    <t>CN-UX-018</t>
  </si>
  <si>
    <t>Connector name input</t>
  </si>
  <si>
    <t>Name boundaries and Unicode receive clear feedback</t>
  </si>
  <si>
    <t>Evaluate text-length, whitespace and international-character usability beyond the automated empty-field checks.</t>
  </si>
  <si>
    <t xml:space="preserve">1. The wizard is open on Information.
2. The documented connector-name rules are available.</t>
  </si>
  <si>
    <t xml:space="preserve">1. Enter a name at the documented maximum length.
2. Enter one character beyond the limit and inspect feedback.
3. Try leading/trailing spaces, repeated internal spaces and a duplicate visible name.
4. Enter supported accented and non-Latin characters, then cancel the draft.</t>
  </si>
  <si>
    <t>Boundary strings at maximum and maximum plus 1; name with surrounding spaces; duplicate name; Cafe accented text; Hindi sample text.</t>
  </si>
  <si>
    <t>The limit is discoverable before data loss, excess input is blocked or explained, whitespace handling is predictable, duplicate-name guidance identifies the conflict, supported Unicode remains intact, and no raw technical error is shown.</t>
  </si>
  <si>
    <t>Boundary-input review against the approved product rules with screenshots of each feedback state.</t>
  </si>
  <si>
    <t>@non-functional @regression @connectors @error-state @manual</t>
  </si>
  <si>
    <t>CN-UX-019</t>
  </si>
  <si>
    <t>Server URL input</t>
  </si>
  <si>
    <t>Server URL errors explain how to recover</t>
  </si>
  <si>
    <t>Review corrective messaging for invalid endpoints without duplicating the automated unsafe-URL rejection matrix.</t>
  </si>
  <si>
    <t xml:space="preserve">1. The wizard is open on Information.
2. Other required fields contain safe valid draft values.</t>
  </si>
  <si>
    <t xml:space="preserve">1. Enter a URL without a scheme and attempt to continue.
2. Enter a URL containing a simple typographical error.
3. Inspect the message, invalid styling and focus behaviour.
4. Correct the value to a synthetic HTTPS example.com endpoint.</t>
  </si>
  <si>
    <t>Values: example.com/hook, https//example.com/hook, and https://example.com/qa-connectors/ux-review.</t>
  </si>
  <si>
    <t>The error is placed next to Server URL, explains the accepted absolute HTTPS format without exposing internal security rules, remains associated programmatically, preserves the entered value for editing, and clears immediately after a valid correction.</t>
  </si>
  <si>
    <t>Incremental correction review with keyboard and screen-reader inspection.</t>
  </si>
  <si>
    <t>@non-functional @regression @a11y @connectors @error-state @manual</t>
  </si>
  <si>
    <t>CN-UX-020</t>
  </si>
  <si>
    <t>Config editor</t>
  </si>
  <si>
    <t>JSON configuration is readable and invalid syntax is locatable</t>
  </si>
  <si>
    <t>Assess editing, formatting and error recovery for realistic multiline configuration content.</t>
  </si>
  <si>
    <t xml:space="preserve">1. The wizard is open on Information.
2. The Config control is visible and enabled.</t>
  </si>
  <si>
    <t xml:space="preserve">1. Paste formatted multiline JSON and inspect whitespace, scrolling and font readability.
2. Introduce a trailing comma or missing quote and attempt to continue.
3. Inspect syntax-error wording and location information.
4. Correct the JSON and verify that the error state clears without losing formatting.</t>
  </si>
  <si>
    <t>Valid multiline JSON containing Content-Type and a nested options object; invalid variants with trailing comma and missing quote.</t>
  </si>
  <si>
    <t>Multiline content remains editable without obscuring controls, horizontal and vertical scrolling are contained, invalid syntax is identified in plain language with useful location guidance, input is preserved, and correction clears the error.</t>
  </si>
  <si>
    <t>Manual editor review at desktop, mobile and 200 percent zoom using valid and invalid JSON.</t>
  </si>
  <si>
    <t>@non-functional @regression @responsive @connectors @manual @ux</t>
  </si>
  <si>
    <t>CN-UX-021</t>
  </si>
  <si>
    <t>Description input</t>
  </si>
  <si>
    <t>Long descriptions remain editable and respect documented limits</t>
  </si>
  <si>
    <t>Validate multiline description behaviour, counter guidance and overflow at realistic boundary lengths.</t>
  </si>
  <si>
    <t xml:space="preserve">1. The wizard is open on Information.
2. The documented description limit is known.</t>
  </si>
  <si>
    <t xml:space="preserve">1. Enter a multiline description near the documented limit.
2. Add enough text to exceed the limit by one character.
3. Resize the dialog to mobile width and edit text near the beginning.
4. Inspect counter, error feedback, internal scrolling and surrounding controls.</t>
  </si>
  <si>
    <t>Non-sensitive multiline description at documented maximum and maximum plus 1, including punctuation and a long URL.</t>
  </si>
  <si>
    <t>The description remains readable and editable, any counter accurately shows remaining or used characters, excess input is prevented or explained before submission, scrolling stays within the field, and nearby actions are not displaced or covered.</t>
  </si>
  <si>
    <t>Boundary-text visual and keyboard review at 1440 x 900 and 375 x 812.</t>
  </si>
  <si>
    <t>CN-UX-022</t>
  </si>
  <si>
    <t>Country selector</t>
  </si>
  <si>
    <t>Country combobox is understandable with keyboard and screen reader</t>
  </si>
  <si>
    <t>Review combobox semantics, option focus and dismissal without repeating the automated country allowlist selection.</t>
  </si>
  <si>
    <t xml:space="preserve">1. The wizard is open on Information.
2. The country control is enabled.</t>
  </si>
  <si>
    <t xml:space="preserve">1. Focus the country control and inspect its name, value and expanded state.
2. Open it and navigate options using keyboard only.
3. Use type-ahead if supported and inspect the active option announcement.
4. Dismiss with Escape and verify the prior value and focus position.</t>
  </si>
  <si>
    <t>Available values: India, USA and UAE; keyboard inputs: Enter, arrows, letter keys and Escape.</t>
  </si>
  <si>
    <t>The control exposes valid combobox semantics, the current value and expanded state are announced, focused and selected options are distinguishable without colour alone, Escape preserves the prior value, and focus returns to the combobox.</t>
  </si>
  <si>
    <t>Keyboard-only and screen-reader combobox review at 1440 x 900.</t>
  </si>
  <si>
    <t>CN-UX-023</t>
  </si>
  <si>
    <t>Connector icon upload</t>
  </si>
  <si>
    <t>Valid PNG preview can be understood, replaced and removed</t>
  </si>
  <si>
    <t>Assess the successful icon-upload experience beyond the automated PNG accept attribute and 40KB guidance checks.</t>
  </si>
  <si>
    <t xml:space="preserve">1. The wizard is open on Information.
2. Two valid non-sensitive PNG fixtures within the documented size limit are available.</t>
  </si>
  <si>
    <t xml:space="preserve">1. Upload the first valid PNG and inspect its preview and filename.
2. Navigate to preview actions using keyboard only.
3. Replace it with the second valid PNG.
4. Remove the uploaded icon and inspect the restored upload state.</t>
  </si>
  <si>
    <t>PNG fixtures: qa-connector-icon-a.png and qa-connector-icon-b.png, each below 40KB, with distinct visible designs.</t>
  </si>
  <si>
    <t>A clear preview and filename confirm the selected file, preview actions have specific accessible names, replacement shows only the latest icon, removal restores the initial guidance, and no stale preview remains.</t>
  </si>
  <si>
    <t>Visual, keyboard and accessibility-name review of upload, replace and remove states.</t>
  </si>
  <si>
    <t>CN-UX-024</t>
  </si>
  <si>
    <t>Connector icon validation</t>
  </si>
  <si>
    <t>Invalid icon files show specific and recoverable errors</t>
  </si>
  <si>
    <t>Verify guidance for wrong type, oversize, corrupt and transparent or unusual PNG inputs.</t>
  </si>
  <si>
    <t xml:space="preserve">1. The wizard is open on Information.
2. Safe icon boundary fixtures are available.</t>
  </si>
  <si>
    <t xml:space="preserve">1. Attempt to upload a JPG or SVG file.
2. Attempt a PNG just above 40KB and a corrupt PNG.
3. Inspect each message, focus behaviour and upload control state.
4. Upload a valid PNG after the failures.</t>
  </si>
  <si>
    <t>Files: wrong-type.jpg, vector.svg, oversize.png at 40KB plus 1 byte, corrupt.png and valid.png below 40KB.</t>
  </si>
  <si>
    <t>Every invalid file is rejected before persistence, messages distinguish type, size and unreadable-content problems, guidance names PNG and the 40KB limit, no broken preview remains, and the next valid upload succeeds without reopening the wizard.</t>
  </si>
  <si>
    <t>Negative-file interaction review with focus and recovery inspection.</t>
  </si>
  <si>
    <t>DEV only</t>
  </si>
  <si>
    <t>CN-UX-025</t>
  </si>
  <si>
    <t>Access employee search</t>
  </si>
  <si>
    <t>Employee results and no-results state support keyboard selection</t>
  </si>
  <si>
    <t>Review the Access search result experience without repeating the automated enter-and-clear or injection checks.</t>
  </si>
  <si>
    <t xml:space="preserve">1. The wizard is open on Access with safe draft Information.
2. A test employee is available and may be selected without saving the draft.</t>
  </si>
  <si>
    <t xml:space="preserve">1. Search for the known employee by a partial email address.
2. Navigate result entries using keyboard and inspect their accessible names.
3. Clear the search and enter a guaranteed no-match email.
4. Inspect no-results guidance, then cancel without creating the connector.</t>
  </si>
  <si>
    <t>Known QA employee email from the environment fixture; no-match email: no-user-927451@example.invalid.</t>
  </si>
  <si>
    <t>Results identify employees unambiguously, keyboard focus and selection state are visible and announced, the no-results state is distinct from loading, clearing restores the Access view, and no permission is saved after cancellation.</t>
  </si>
  <si>
    <t>Keyboard, screen-reader and no-results visual review using QA-only employee data.</t>
  </si>
  <si>
    <t>DEV and UAT with approved employee fixture</t>
  </si>
  <si>
    <t>CN-UX-026</t>
  </si>
  <si>
    <t>Access selected users</t>
  </si>
  <si>
    <t>Selected-user chips and Owner remain clear with many users</t>
  </si>
  <si>
    <t>Validate identity, removal, count and responsive overflow when the Access step contains several selected users.</t>
  </si>
  <si>
    <t xml:space="preserve">1. The wizard is open on Access.
2. At least five QA-only employees are available for temporary selection.</t>
  </si>
  <si>
    <t xml:space="preserve">1. Select five or more QA employees without submitting the connector.
2. Compare the Selected Users count with visible chips or rows.
3. Inspect wrapping and scrolling at desktop and mobile widths.
4. Remove a middle user using keyboard and inspect Owner treatment and focus placement.</t>
  </si>
  <si>
    <t>Five or more approved QA employee identities; viewports: 1440 x 900 and 375 x 812.</t>
  </si>
  <si>
    <t>The count matches the selected identities, each chip or row provides an unambiguous name and accessible Remove action, overflow remains contained, removal updates the count once, focus moves predictably, and Owner is visibly protected from accidental removal.</t>
  </si>
  <si>
    <t>Desktop/mobile visual and keyboard review; cancel before saving any access change.</t>
  </si>
  <si>
    <t>CN-UX-027</t>
  </si>
  <si>
    <t>Unsaved connector draft</t>
  </si>
  <si>
    <t>Leaving a changed wizard prevents accidental data loss</t>
  </si>
  <si>
    <t>Determine whether users receive clear protection when closing or navigating away from a populated unsaved draft.</t>
  </si>
  <si>
    <t xml:space="preserve">1. The Create or Edit Connector wizard is open.
2. At least one field has been changed from its initial value.</t>
  </si>
  <si>
    <t xml:space="preserve">1. Enter safe unsaved changes on Information.
2. Attempt to close with Cancel, Escape or the dialog close control as available.
3. Repeat and attempt browser Back or module navigation.
4. Exercise Stay and Discard choices if a warning appears.</t>
  </si>
  <si>
    <t>Draft name: QA Unsaved Connector UX Review; synthetic example.com URL and non-sensitive JSON config.</t>
  </si>
  <si>
    <t>Behaviour matches the approved draft-loss policy: destructive exit is clearly warned when required, the warning names the consequence, Stay preserves every draft value, Discard exits once without persistence, and focus remains inside the active confirmation.</t>
  </si>
  <si>
    <t>Manual draft-loss review across dialog dismissal and navigation paths; never submit the draft.</t>
  </si>
  <si>
    <t>CN-UX-028</t>
  </si>
  <si>
    <t>Connector submission feedback</t>
  </si>
  <si>
    <t>Create or update failure preserves the draft and prevents duplicates</t>
  </si>
  <si>
    <t>Verify that delayed or failed submission is recoverable without losing entered information or creating repeated connectors.</t>
  </si>
  <si>
    <t xml:space="preserve">1. A complete synthetic draft is ready to submit.
2. The submit request can be safely delayed and failed in the test environment.</t>
  </si>
  <si>
    <t xml:space="preserve">1. Submit the draft under a slow network and attempt repeated activation.
2. Observe button, dialog and progress states.
3. Fail the request and inspect the error and retained data.
4. Restore connectivity, retry once and confirm the final user feedback.</t>
  </si>
  <si>
    <t>Unique name: QA Connector Failure UX 927451; synthetic example.com URL; valid JSON; failure modes: timeout and HTTP 500.</t>
  </si>
  <si>
    <t>Only one request is accepted while pending, a visible and announced progress state appears, failure leaves the dialog open with all values retained, a specific retryable error is shown, and one retry creates or updates no more than one connector.</t>
  </si>
  <si>
    <t>Controlled request delay/failure with video, request-count and final duplicate review.</t>
  </si>
  <si>
    <t>CN-UX-029</t>
  </si>
  <si>
    <t>Connector actions and delete confirmation</t>
  </si>
  <si>
    <t>Action menu and delete confirmation are keyboard-safe and unambiguous</t>
  </si>
  <si>
    <t>Review discoverability, focus and destructive-action presentation without confirming deletion or repeating the automated menu allowlist and cancel-persistence assertions.</t>
  </si>
  <si>
    <t xml:space="preserve">1. A disposable QA connector is visible.
2. The tester will not confirm permanent deletion.</t>
  </si>
  <si>
    <t xml:space="preserve">1. Open the connector action menu using keyboard only.
2. Inspect focus order and the visual treatment of Edit Connector and Delete.
3. Open Delete Connector and inspect its title, connector identity, consequence text and button order.
4. Dismiss with Escape and then Cancel, checking focus restoration after each path.</t>
  </si>
  <si>
    <t>Disposable QA connector; actions: Edit Connector and Delete; confirmation buttons: Cancel and Delete.</t>
  </si>
  <si>
    <t>The actions control has a specific accessible name, menu focus is contained and restored, Delete is visually distinct without colour-only meaning, confirmation identifies the exact connector and irreversible consequence, the safe choice is obvious, and dismissal never triggers deletion.</t>
  </si>
  <si>
    <t>Keyboard, screen-reader and destructive-action visual review; deletion must never be confirmed.</t>
  </si>
  <si>
    <t>DEV and UAT; LIVE limited to safe open-and-cancel review</t>
  </si>
  <si>
    <t>CN-UX-030</t>
  </si>
  <si>
    <t>Connectors browser compatibility</t>
  </si>
  <si>
    <t>Connectors UI remains equivalent across supported browsers</t>
  </si>
  <si>
    <t>Identify browser-specific differences in cards, menus, wizard controls, scrolling, focus and native file upload.</t>
  </si>
  <si>
    <t xml:space="preserve">1. The approved supported desktop browsers are installed.
2. The same authenticated QA business and connector fixtures are available in each browser.</t>
  </si>
  <si>
    <t xml:space="preserve">1. In each supported browser, inspect the Connectors page in grid and list layouts.
2. Inspect search, date filter, connector action menu and refresh states.
3. Open the wizard and inspect Information, Access, country selection and PNG upload without saving.
4. Compare screenshots, keyboard focus, dialog scrolling and native file-control behaviour.</t>
  </si>
  <si>
    <t>Latest supported Chrome, Edge and Firefox; viewport: 1440 x 900; safe PNG below 40KB; synthetic unsaved draft.</t>
  </si>
  <si>
    <t>All supported browsers provide equivalent readable layouts and operable controls, keyboard focus remains visible, popovers and dialogs stay correctly positioned, scrolling is contained, and no browser introduces inaccessible or clipped file-upload controls.</t>
  </si>
  <si>
    <t>Compatibility</t>
  </si>
  <si>
    <t>Cross-browser screenshot comparison plus keyboard interaction pass at 1440 x 900.</t>
  </si>
  <si>
    <t>DEV and UAT; LIVE limited to non-destructive visual smoke review</t>
  </si>
  <si>
    <t>Non-Functional, Regression, Accessibility, Compatibility</t>
  </si>
  <si>
    <t>@non-functional @regression @a11y @compatibility @connectors @manual</t>
  </si>
  <si>
    <t>CN-UX-031</t>
  </si>
  <si>
    <t>UI performance budget</t>
  </si>
  <si>
    <t>Meet measurable page and interaction performance budgets</t>
  </si>
  <si>
    <t>Quantify perceived Connectors performance under a repeatable workload and detect regressions beyond basic loading-state review.</t>
  </si>
  <si>
    <t xml:space="preserve">1. A stable test workstation, pinned Chrome version and controlled Fast 4G network profile are available.
2. The selected QA business contains 50 representative connectors with varied names and icons and no background data job is running.
3. Browser extensions are disabled and the viewport is fixed at 1440 x 900.</t>
  </si>
  <si>
    <t xml:space="preserve">1. Record the browser version, machine profile, fixture count, viewport and network settings in the evidence log.
2. Run five cold-cache and five warm-cache Connectors navigations, collecting Largest Contentful Paint and Cumulative Layout Shift for every run.
3. Across at least 20 samples, operate search, Created On filtering, grid/list switching, refresh, action-menu opening and Create Connector, collecting Interaction to Next Paint and time to visible completion.
4. Open Information and Access and select a valid small PNG to measure wizard and preview responsiveness without submitting the draft.
5. Inspect the Performance trace for main-thread long tasks and calculate the 75th percentile Web Vitals and 95th percentile interaction times.</t>
  </si>
  <si>
    <t>50-connector fixture; Chrome pinned version; 1440 x 900; controlled Fast 4G; five cold loads, five warm loads and at least 20 representative interactions; valid PNG below 40KB.</t>
  </si>
  <si>
    <t>At the 75th percentile, LCP is at most 2.5 seconds, INP is at most 200 milliseconds and CLS is at most 0.10; at the 95th percentile, search, filter, layout and refresh feedback visibly completes within 500 milliseconds, the wizard opens within 800 milliseconds and valid icon preview appears within one second; feedback begins within 100 milliseconds; no unexplained main-thread task exceeds 200 milliseconds; raw evidence is attached.</t>
  </si>
  <si>
    <t>Performance</t>
  </si>
  <si>
    <t>Chrome Performance panel, Web Vitals capture and a repeatable measurement worksheet using percentile calculations.</t>
  </si>
  <si>
    <t>DEV for baseline calibration; UAT as the release-gate measurement environment.</t>
  </si>
  <si>
    <t>Non-Functional, Regression, Performance</t>
  </si>
  <si>
    <t>@non-functional @regression @performance @connectors @manual</t>
  </si>
  <si>
    <t>CN-UX-032</t>
  </si>
  <si>
    <t>Visual regression baseline</t>
  </si>
  <si>
    <t>Review deterministic screenshot baselines for critical Connector states</t>
  </si>
  <si>
    <t>Establish and review reproducible visual references that reveal unintended layout, typography, upload, state and theme changes.</t>
  </si>
  <si>
    <t xml:space="preserve">1. The approved deterministic Connectors fixture and pinned browser, font and operating-system image are available.
2. Animations and caret blinking can be disabled and dynamic timestamps or avatars can be masked using documented selectors.
3. An approved prior baseline exists, or this run has formal approval to create the first baseline.</t>
  </si>
  <si>
    <t xml:space="preserve">1. Load the fixed fixture, wait for fonts and stable network activity, disable animations and confirm the same browser scale on every run.
2. Capture named screenshots for grid, list, active date filter, no-results, loading and recoverable-error states at 1440 x 900 and 375 x 812 in light and dark themes.
3. Capture Information, valid PNG preview, field-validation, Access selected-user and Delete Connector confirmation states without saving a destructive change.
4. Compare each image with its matching baseline using a pixel-diff overlay, then manually review spacing, typography, focus, clipping, icon and color changes.
5. Classify every difference as defect, approved design change or documented dynamic mask; rebaseline only after design-owner approval.</t>
  </si>
  <si>
    <t>Pinned Chrome/OS/font image; fixed Connector and QA-user fixtures; light and dark themes; viewports 1440 x 900 and 375 x 812; stable PNG fixture below 40KB.</t>
  </si>
  <si>
    <t>Every required state produces a correctly named deterministic image; stable regions remain within a 0.10 percent pixel-difference threshold; there are no unexplained diffs, missing captures, clipped controls, stale previews or unapproved masks; approved changes include reviewer, reason and date before the baseline is replaced.</t>
  </si>
  <si>
    <t>Visual regression</t>
  </si>
  <si>
    <t>Automated pixel-diff output followed by human overlay review and design-owner baseline approval.</t>
  </si>
  <si>
    <t>DEV for baseline generation; UAT for release-candidate comparison.</t>
  </si>
  <si>
    <t>Non-Functional, Regression, Visual Regression</t>
  </si>
  <si>
    <t>@non-functional @regression @visual-regression @connectors @manual</t>
  </si>
  <si>
    <t>CN-UX-033</t>
  </si>
  <si>
    <t>Localization and internationalization</t>
  </si>
  <si>
    <t>Support translated copy, text expansion and bidirectional layouts</t>
  </si>
  <si>
    <t>Verify the complete Connectors interface can accommodate localization without corrupting URLs, JSON, email addresses or file information.</t>
  </si>
  <si>
    <t xml:space="preserve">1. Pseudo-locales supporting approximately 35 percent text expansion and right-to-left direction are available.
2. The browser locale, time zone and language can be changed in a controlled test environment.
3. The tester can open every Connectors page and wizard state without saving production data.</t>
  </si>
  <si>
    <t xml:space="preserve">1. Run the Connectors list, date filter, card actions, Information and Access using the expanded pseudo-locale and inspect headings, labels, help, validation, upload feedback and notifications.
2. Repeat the same path using the right-to-left pseudo-locale and inspect reading order, alignment, icon direction, dialog placement and keyboard focus order.
3. Switch among en-US, de-DE and hi-IN and inspect Created On values, country names, number formatting and locale-sensitive messages.
4. Verify server URLs, JSON configuration, email addresses and filenames retain their required left-to-right technical representation inside localized surrounding copy.
5. Use a screen reader to compare visible labels with accessible names and search the rendered UI for raw translation keys or fallback tokens.</t>
  </si>
  <si>
    <t>Expanded pseudo-locale at 35 percent; RTL pseudo-locale; locales en-US, de-DE and hi-IN; representative URL, multiline JSON, QA email and PNG filename.</t>
  </si>
  <si>
    <t>No copy is clipped, overlapped or replaced by raw translation keys; controls expand or wrap without hiding actions; RTL reading and focus order are logical; directional icons mirror only when appropriate; dates and numbers follow the active locale; technical strings remain intact and readable left-to-right; visible and accessible labels use the same language and meaning.</t>
  </si>
  <si>
    <t>Localization</t>
  </si>
  <si>
    <t>Pseudo-localization, RTL, locale-switching, responsive visual inspection and screen-reader label comparison.</t>
  </si>
  <si>
    <t>DEV for pseudo-locales; UAT for approved translated locale verification.</t>
  </si>
  <si>
    <t>Non-Functional, Regression, Responsive, Localization</t>
  </si>
  <si>
    <t>@non-functional @regression @responsive @localization @connectors @manual</t>
  </si>
  <si>
    <t>CN-UX-034</t>
  </si>
  <si>
    <t>Exploratory UAT charter</t>
  </si>
  <si>
    <t>Explore a realistic administrator Connector journey before release</t>
  </si>
  <si>
    <t>Discover workflow, trust, comprehension and recovery problems outside scripted assertions through a focused UAT session.</t>
  </si>
  <si>
    <t xml:space="preserve">1. A release-candidate build is deployed to UAT with representative but non-sensitive Connector and employee fixtures.
2. A business-administrator tester has permission to create, edit and clean up timestamped synthetic connectors.
3. An approved non-production HTTPS test endpoint, safe PNG and 90-minute uninterrupted session are available.</t>
  </si>
  <si>
    <t xml:space="preserve">1. Read the charter: evaluate whether a first-time administrator can find an existing connector, understand its destination and safely configure a new connector for selected teammates.
2. Spend 15 minutes learning the page naturally, noting terminology, information scent, unexpected affordances and questions without following existing scripts.
3. Spend 45 minutes creating and refining one timestamped synthetic connector, varying URL and JSON editing, icon replacement, country and access choices, navigation order, browser width and recoverable mistakes according to observations.
4. Spend 15 minutes revisiting the connector through search, date filtering, layouts and edit actions, looking for stale state, inconsistent copy, weak feedback, privacy ambiguity and loss-of-context risks.
5. Spend 15 minutes cleaning up approved test data and debriefing findings with timestamps, screenshots, reproduction notes, affected persona, impact and confidence.</t>
  </si>
  <si>
    <t>Persona: first-time business administrator; 90-minute charter; one timestamped synthetic connector; approved HTTPS test endpoint, PNG and QA teammate; desktop and narrow-browser exploration.</t>
  </si>
  <si>
    <t>The mission can be completed without undocumented assistance or production impact; the session log records areas covered and skipped; every observation is classified as defect, usability concern, question or positive finding; reproducible issues include evidence and severity; no untriaged Critical or release-blocking Major issue remains; all session-owned data and access are cleaned up or explicitly handed over.</t>
  </si>
  <si>
    <t>Exploratory UAT</t>
  </si>
  <si>
    <t>Session-based exploratory testing using tours, error guessing, consistency heuristics and a structured stakeholder debrief.</t>
  </si>
  <si>
    <t>UAT release candidate only; DEV may be used beforehand to prepare fixtures and the charter.</t>
  </si>
  <si>
    <t>Non-Functional, Regression, Exploratory, UAT</t>
  </si>
  <si>
    <t>@non-functional @regression @exploratory @uat @connectors @exploratory-uat @manual</t>
  </si>
  <si>
    <t>Connectors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</si>
  <si>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</si>
  <si>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</si>
  <si>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</si>
  <si>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</si>
  <si>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</si>
  <si>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</si>
  <si>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</si>
  <si>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</si>
  <si>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</si>
  <si>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</si>
  <si>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</si>
  <si>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</si>
  <si>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</si>
  <si>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</si>
  <si>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</si>
  <si>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</si>
  <si>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</si>
  <si>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</si>
  <si>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</si>
  <si>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</si>
  <si>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P0.</t>
  </si>
  <si>
    <t>Priority coverage for P1.</t>
  </si>
  <si>
    <t>Priority coverage for P2.</t>
  </si>
  <si>
    <t>Severity coverage for Critical.</t>
  </si>
  <si>
    <t>Severity coverage for Major.</t>
  </si>
  <si>
    <t>Test suite</t>
  </si>
  <si>
    <t>24 automated and 0 manual case(s) carry @functional.</t>
  </si>
  <si>
    <t>Non-Functional</t>
  </si>
  <si>
    <t>7 automated and 34 manual case(s) carry @non-functional.</t>
  </si>
  <si>
    <t>Smoke</t>
  </si>
  <si>
    <t>1 automated and 0 manual case(s) carry @smoke.</t>
  </si>
  <si>
    <t>Production Smoke</t>
  </si>
  <si>
    <t>1 automated and 0 manual case(s) carry @prod-smoke.</t>
  </si>
  <si>
    <t>Sanity</t>
  </si>
  <si>
    <t>4 automated and 0 manual case(s) carry @sanity.</t>
  </si>
  <si>
    <t>Regression</t>
  </si>
  <si>
    <t>24 automated and 34 manual case(s) carry @regression.</t>
  </si>
  <si>
    <t>End-to-End</t>
  </si>
  <si>
    <t>8 automated and 0 manual case(s) carry @e2e.</t>
  </si>
  <si>
    <t>Integration</t>
  </si>
  <si>
    <t>6 automated and 0 manual case(s) carry @integration.</t>
  </si>
  <si>
    <t>7 automated and 0 manual case(s) carry @security.</t>
  </si>
  <si>
    <t>0 automated and 21 manual case(s) carry @a11y.</t>
  </si>
  <si>
    <t>0 automated and 9 manual case(s) carry @responsive.</t>
  </si>
  <si>
    <t>0 automated and 1 manual case(s) carry @compatibility.</t>
  </si>
  <si>
    <t>Visual Regression</t>
  </si>
  <si>
    <t>0 automated and 1 manual case(s) carry @visual-regression.</t>
  </si>
  <si>
    <t>0 automated and 1 manual case(s) carry @performance.</t>
  </si>
  <si>
    <t>0 automated and 1 manual case(s) carry @localization.</t>
  </si>
  <si>
    <t>Exploratory</t>
  </si>
  <si>
    <t>0 automated and 1 manual case(s) carry @exploratory.</t>
  </si>
  <si>
    <t>UAT</t>
  </si>
  <si>
    <t>4 automated and 1 manual case(s) carry @uat.</t>
  </si>
  <si>
    <t>Assigned only when a specific failed case is rerun after a defect fix; intentionally zero at design time.</t>
  </si>
  <si>
    <t>Manual category</t>
  </si>
  <si>
    <t>Manual Accessibility review coverage.</t>
  </si>
  <si>
    <t>Manual Compatibility review coverage.</t>
  </si>
  <si>
    <t>Manual Error state review coverage.</t>
  </si>
  <si>
    <t>Manual Exploratory UAT review coverage.</t>
  </si>
  <si>
    <t>Manual Localization review coverage.</t>
  </si>
  <si>
    <t>Manual Performance review coverage.</t>
  </si>
  <si>
    <t>Manual Responsive review coverage.</t>
  </si>
  <si>
    <t>Manual UI review coverage.</t>
  </si>
  <si>
    <t>Manual UX review coverage.</t>
  </si>
  <si>
    <t>Manual Visual regression review coverage.</t>
  </si>
  <si>
    <t>Field</t>
  </si>
  <si>
    <t>Sheet</t>
  </si>
  <si>
    <t>Editable During Execution</t>
  </si>
  <si>
    <t>Required</t>
  </si>
  <si>
    <t>Description</t>
  </si>
  <si>
    <t>Example</t>
  </si>
  <si>
    <t>No</t>
  </si>
  <si>
    <t>Yes</t>
  </si>
  <si>
    <t>Unique Connectors case reference used in evidence and defects.</t>
  </si>
  <si>
    <t>CN-001 / CN-UX-001</t>
  </si>
  <si>
    <t>Page section or user journey covered by the case.</t>
  </si>
  <si>
    <t>Connectors navigation</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</si>
  <si>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</si>
  <si>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</si>
  <si>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</si>
  <si>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</si>
  <si>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</si>
  <si>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</si>
  <si>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</si>
  <si>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</si>
  <si>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</si>
  <si>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</si>
  <si>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</si>
  <si>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</si>
  <si>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</si>
  <si>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</si>
  <si>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</si>
  <si>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</si>
  <si>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</si>
  <si>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</si>
  <si>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</si>
  <si>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</si>
  <si>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</si>
  <si>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</si>
  <si>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</si>
  <si>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</si>
  <si>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@connectors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</si>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</sst>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8">
    <fill>
      <patternFill patternType="none"/>
    </fill>
    <fill>
      <patternFill patternType="gray125"/>
    </fill>
    <fill>
      <patternFill patternType="solid">
        <fgColor rgb="FF0F6B78"/>
      </patternFill>
    </fill>
    <fill>
      <patternFill patternType="solid">
        <fgColor rgb="FFFCE4D6"/>
      </patternFill>
    </fill>
    <fill>
      <patternFill patternType="solid">
        <fgColor rgb="FFC65911"/>
      </patternFill>
    </fill>
    <fill>
      <patternFill patternType="solid">
        <fgColor rgb="FFFFF2CC"/>
      </patternFill>
    </fill>
    <fill>
      <patternFill patternType="solid">
        <fgColor rgb="FFF4CCCC"/>
      </patternFill>
    </fill>
    <fill>
      <patternFill patternType="solid">
        <fgColor rgb="FF548235"/>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3" fillId="4" borderId="0" xfId="0" applyFont="1" applyFill="1" applyAlignment="1">
      <alignment horizontal="center" vertical="center" wrapText="1"/>
    </xf>
    <xf numFmtId="0" fontId="5" fillId="5" borderId="0" xfId="0" applyFont="1" applyFill="1" applyAlignment="1">
      <alignment vertical="top" wrapText="1"/>
    </xf>
    <xf numFmtId="0" fontId="7" fillId="5" borderId="0" xfId="0" applyFont="1" applyFill="1" applyAlignment="1">
      <alignment vertical="top" wrapText="1"/>
    </xf>
    <xf numFmtId="0" fontId="7" fillId="6" borderId="0" xfId="0" applyFont="1" applyFill="1" applyAlignment="1">
      <alignment vertical="top" wrapText="1"/>
    </xf>
    <xf numFmtId="0" fontId="9" fillId="7" borderId="0" xfId="0" applyFont="1" applyFill="1" applyAlignment="1">
      <alignment horizontal="left" vertical="center"/>
    </xf>
    <xf numFmtId="0" fontId="10" fillId="0" borderId="0" xfId="0" applyFont="1"/>
    <xf numFmtId="0" fontId="3" fillId="7"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ConnectorsAutomatedCases" displayName="ConnectorsAutomatedCases" ref="A1:V25" totalsRowShown="1" headerRowCount="1">
  <autoFilter ref="A1:V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ConnectorsManualUiUxCases" displayName="ConnectorsManualUiUxCases" ref="A1:W35" totalsRowShown="1" headerRowCount="1">
  <autoFilter ref="A1:W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ConnectorsUiUxFieldReference" displayName="Connectors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25"/>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7"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86</v>
      </c>
      <c r="J3" s="7" t="s">
        <v>106</v>
      </c>
      <c r="K3" s="7" t="s">
        <v>88</v>
      </c>
      <c r="L3" s="7" t="s">
        <v>89</v>
      </c>
      <c r="M3" s="10" t="s">
        <v>90</v>
      </c>
      <c r="N3" s="7" t="s">
        <v>91</v>
      </c>
      <c r="O3" s="7" t="s">
        <v>92</v>
      </c>
      <c r="P3" s="7" t="s">
        <v>93</v>
      </c>
      <c r="Q3" s="7" t="s">
        <v>94</v>
      </c>
      <c r="R3" s="7" t="s">
        <v>107</v>
      </c>
      <c r="S3" s="7" t="s">
        <v>108</v>
      </c>
      <c r="T3" s="7" t="s">
        <v>109</v>
      </c>
      <c r="U3" s="7" t="s">
        <v>98</v>
      </c>
      <c r="V3" s="7" t="s">
        <v>99</v>
      </c>
    </row>
    <row r="4" ht="76" customHeight="1" spans="1:22" s="7" customFormat="1" x14ac:dyDescent="0.25">
      <c r="A4" s="7">
        <v>3</v>
      </c>
      <c r="B4" s="8" t="s">
        <v>110</v>
      </c>
      <c r="C4" s="7" t="s">
        <v>80</v>
      </c>
      <c r="D4" s="7" t="s">
        <v>101</v>
      </c>
      <c r="E4" s="7" t="s">
        <v>111</v>
      </c>
      <c r="F4" s="7" t="s">
        <v>112</v>
      </c>
      <c r="G4" s="7" t="s">
        <v>84</v>
      </c>
      <c r="H4" s="7" t="s">
        <v>113</v>
      </c>
      <c r="I4" s="9" t="s">
        <v>114</v>
      </c>
      <c r="J4" s="7" t="s">
        <v>115</v>
      </c>
      <c r="K4" s="7" t="s">
        <v>88</v>
      </c>
      <c r="L4" s="7" t="s">
        <v>89</v>
      </c>
      <c r="M4" s="10" t="s">
        <v>90</v>
      </c>
      <c r="N4" s="7" t="s">
        <v>91</v>
      </c>
      <c r="O4" s="7" t="s">
        <v>92</v>
      </c>
      <c r="P4" s="7" t="s">
        <v>93</v>
      </c>
      <c r="Q4" s="7" t="s">
        <v>94</v>
      </c>
      <c r="R4" s="7" t="s">
        <v>116</v>
      </c>
      <c r="S4" s="7" t="s">
        <v>117</v>
      </c>
      <c r="T4" s="7" t="s">
        <v>118</v>
      </c>
      <c r="U4" s="7" t="s">
        <v>98</v>
      </c>
      <c r="V4" s="7" t="s">
        <v>99</v>
      </c>
    </row>
    <row r="5" ht="76" customHeight="1" spans="1:22" s="7" customFormat="1" x14ac:dyDescent="0.25">
      <c r="A5" s="7">
        <v>4</v>
      </c>
      <c r="B5" s="8" t="s">
        <v>119</v>
      </c>
      <c r="C5" s="7" t="s">
        <v>80</v>
      </c>
      <c r="D5" s="7" t="s">
        <v>120</v>
      </c>
      <c r="E5" s="7" t="s">
        <v>121</v>
      </c>
      <c r="F5" s="7" t="s">
        <v>122</v>
      </c>
      <c r="G5" s="7" t="s">
        <v>84</v>
      </c>
      <c r="H5" s="7" t="s">
        <v>123</v>
      </c>
      <c r="I5" s="9" t="s">
        <v>124</v>
      </c>
      <c r="J5" s="7" t="s">
        <v>125</v>
      </c>
      <c r="K5" s="7" t="s">
        <v>88</v>
      </c>
      <c r="L5" s="7" t="s">
        <v>89</v>
      </c>
      <c r="M5" s="10" t="s">
        <v>90</v>
      </c>
      <c r="N5" s="7" t="s">
        <v>91</v>
      </c>
      <c r="O5" s="7" t="s">
        <v>92</v>
      </c>
      <c r="P5" s="7" t="s">
        <v>93</v>
      </c>
      <c r="Q5" s="7" t="s">
        <v>94</v>
      </c>
      <c r="R5" s="7" t="s">
        <v>126</v>
      </c>
      <c r="S5" s="7" t="s">
        <v>127</v>
      </c>
      <c r="T5" s="7" t="s">
        <v>128</v>
      </c>
      <c r="U5" s="7" t="s">
        <v>98</v>
      </c>
      <c r="V5" s="7" t="s">
        <v>99</v>
      </c>
    </row>
    <row r="6" ht="76" customHeight="1" spans="1:22" s="7" customFormat="1" x14ac:dyDescent="0.25">
      <c r="A6" s="7">
        <v>5</v>
      </c>
      <c r="B6" s="8" t="s">
        <v>129</v>
      </c>
      <c r="C6" s="7" t="s">
        <v>80</v>
      </c>
      <c r="D6" s="7" t="s">
        <v>130</v>
      </c>
      <c r="E6" s="7" t="s">
        <v>131</v>
      </c>
      <c r="F6" s="7" t="s">
        <v>132</v>
      </c>
      <c r="G6" s="7" t="s">
        <v>84</v>
      </c>
      <c r="H6" s="7" t="s">
        <v>133</v>
      </c>
      <c r="I6" s="9" t="s">
        <v>134</v>
      </c>
      <c r="J6" s="7" t="s">
        <v>135</v>
      </c>
      <c r="K6" s="7" t="s">
        <v>88</v>
      </c>
      <c r="L6" s="7" t="s">
        <v>136</v>
      </c>
      <c r="M6" s="10" t="s">
        <v>90</v>
      </c>
      <c r="N6" s="7" t="s">
        <v>91</v>
      </c>
      <c r="O6" s="7" t="s">
        <v>92</v>
      </c>
      <c r="P6" s="7" t="s">
        <v>93</v>
      </c>
      <c r="Q6" s="7" t="s">
        <v>94</v>
      </c>
      <c r="R6" s="7" t="s">
        <v>116</v>
      </c>
      <c r="S6" s="7" t="s">
        <v>117</v>
      </c>
      <c r="T6" s="7" t="s">
        <v>137</v>
      </c>
      <c r="U6" s="7" t="s">
        <v>98</v>
      </c>
      <c r="V6" s="7" t="s">
        <v>99</v>
      </c>
    </row>
    <row r="7" ht="76" customHeight="1" spans="1:22" s="7" customFormat="1" x14ac:dyDescent="0.25">
      <c r="A7" s="7">
        <v>6</v>
      </c>
      <c r="B7" s="8" t="s">
        <v>138</v>
      </c>
      <c r="C7" s="7" t="s">
        <v>80</v>
      </c>
      <c r="D7" s="7" t="s">
        <v>139</v>
      </c>
      <c r="E7" s="7" t="s">
        <v>140</v>
      </c>
      <c r="F7" s="7" t="s">
        <v>141</v>
      </c>
      <c r="G7" s="7" t="s">
        <v>84</v>
      </c>
      <c r="H7" s="7" t="s">
        <v>142</v>
      </c>
      <c r="I7" s="9" t="s">
        <v>143</v>
      </c>
      <c r="J7" s="7" t="s">
        <v>144</v>
      </c>
      <c r="K7" s="7" t="s">
        <v>88</v>
      </c>
      <c r="L7" s="7" t="s">
        <v>145</v>
      </c>
      <c r="M7" s="10" t="s">
        <v>90</v>
      </c>
      <c r="N7" s="11" t="s">
        <v>146</v>
      </c>
      <c r="O7" s="7" t="s">
        <v>92</v>
      </c>
      <c r="P7" s="7" t="s">
        <v>93</v>
      </c>
      <c r="Q7" s="7" t="s">
        <v>94</v>
      </c>
      <c r="R7" s="7" t="s">
        <v>147</v>
      </c>
      <c r="S7" s="7" t="s">
        <v>148</v>
      </c>
      <c r="T7" s="7" t="s">
        <v>149</v>
      </c>
      <c r="U7" s="7" t="s">
        <v>98</v>
      </c>
      <c r="V7" s="7" t="s">
        <v>99</v>
      </c>
    </row>
    <row r="8" ht="76" customHeight="1" spans="1:22" s="7" customFormat="1" x14ac:dyDescent="0.25">
      <c r="A8" s="7">
        <v>7</v>
      </c>
      <c r="B8" s="8" t="s">
        <v>150</v>
      </c>
      <c r="C8" s="7" t="s">
        <v>80</v>
      </c>
      <c r="D8" s="7" t="s">
        <v>151</v>
      </c>
      <c r="E8" s="7" t="s">
        <v>152</v>
      </c>
      <c r="F8" s="7" t="s">
        <v>153</v>
      </c>
      <c r="G8" s="7" t="s">
        <v>84</v>
      </c>
      <c r="H8" s="7" t="s">
        <v>154</v>
      </c>
      <c r="I8" s="9" t="s">
        <v>86</v>
      </c>
      <c r="J8" s="7" t="s">
        <v>155</v>
      </c>
      <c r="K8" s="7" t="s">
        <v>88</v>
      </c>
      <c r="L8" s="7" t="s">
        <v>156</v>
      </c>
      <c r="M8" s="10" t="s">
        <v>90</v>
      </c>
      <c r="N8" s="7" t="s">
        <v>91</v>
      </c>
      <c r="O8" s="7" t="s">
        <v>92</v>
      </c>
      <c r="P8" s="7" t="s">
        <v>93</v>
      </c>
      <c r="Q8" s="7" t="s">
        <v>94</v>
      </c>
      <c r="R8" s="7" t="s">
        <v>116</v>
      </c>
      <c r="S8" s="7" t="s">
        <v>117</v>
      </c>
      <c r="T8" s="7" t="s">
        <v>157</v>
      </c>
      <c r="U8" s="7" t="s">
        <v>98</v>
      </c>
      <c r="V8" s="7" t="s">
        <v>99</v>
      </c>
    </row>
    <row r="9" ht="76" customHeight="1" spans="1:22" s="7" customFormat="1" x14ac:dyDescent="0.25">
      <c r="A9" s="7">
        <v>8</v>
      </c>
      <c r="B9" s="8" t="s">
        <v>158</v>
      </c>
      <c r="C9" s="7" t="s">
        <v>80</v>
      </c>
      <c r="D9" s="7" t="s">
        <v>159</v>
      </c>
      <c r="E9" s="7" t="s">
        <v>160</v>
      </c>
      <c r="F9" s="7" t="s">
        <v>161</v>
      </c>
      <c r="G9" s="7" t="s">
        <v>84</v>
      </c>
      <c r="H9" s="7" t="s">
        <v>162</v>
      </c>
      <c r="I9" s="9" t="s">
        <v>163</v>
      </c>
      <c r="J9" s="7" t="s">
        <v>164</v>
      </c>
      <c r="K9" s="7" t="s">
        <v>88</v>
      </c>
      <c r="L9" s="7" t="s">
        <v>89</v>
      </c>
      <c r="M9" s="10" t="s">
        <v>90</v>
      </c>
      <c r="N9" s="7" t="s">
        <v>91</v>
      </c>
      <c r="O9" s="7" t="s">
        <v>92</v>
      </c>
      <c r="P9" s="7" t="s">
        <v>93</v>
      </c>
      <c r="Q9" s="7" t="s">
        <v>94</v>
      </c>
      <c r="R9" s="7" t="s">
        <v>116</v>
      </c>
      <c r="S9" s="7" t="s">
        <v>117</v>
      </c>
      <c r="T9" s="7" t="s">
        <v>165</v>
      </c>
      <c r="U9" s="7" t="s">
        <v>98</v>
      </c>
      <c r="V9" s="7" t="s">
        <v>99</v>
      </c>
    </row>
    <row r="10" ht="76" customHeight="1" spans="1:22" s="7" customFormat="1" x14ac:dyDescent="0.25">
      <c r="A10" s="7">
        <v>9</v>
      </c>
      <c r="B10" s="8" t="s">
        <v>166</v>
      </c>
      <c r="C10" s="7" t="s">
        <v>80</v>
      </c>
      <c r="D10" s="7" t="s">
        <v>167</v>
      </c>
      <c r="E10" s="7" t="s">
        <v>168</v>
      </c>
      <c r="F10" s="7" t="s">
        <v>169</v>
      </c>
      <c r="G10" s="7" t="s">
        <v>84</v>
      </c>
      <c r="H10" s="7" t="s">
        <v>170</v>
      </c>
      <c r="I10" s="9" t="s">
        <v>86</v>
      </c>
      <c r="J10" s="7" t="s">
        <v>171</v>
      </c>
      <c r="K10" s="7" t="s">
        <v>88</v>
      </c>
      <c r="L10" s="7" t="s">
        <v>89</v>
      </c>
      <c r="M10" s="10" t="s">
        <v>90</v>
      </c>
      <c r="N10" s="7" t="s">
        <v>91</v>
      </c>
      <c r="O10" s="7" t="s">
        <v>92</v>
      </c>
      <c r="P10" s="7" t="s">
        <v>93</v>
      </c>
      <c r="Q10" s="7" t="s">
        <v>94</v>
      </c>
      <c r="R10" s="7" t="s">
        <v>116</v>
      </c>
      <c r="S10" s="7" t="s">
        <v>117</v>
      </c>
      <c r="T10" s="7" t="s">
        <v>172</v>
      </c>
      <c r="U10" s="7" t="s">
        <v>98</v>
      </c>
      <c r="V10" s="7" t="s">
        <v>99</v>
      </c>
    </row>
    <row r="11" ht="76" customHeight="1" spans="1:22" s="7" customFormat="1" x14ac:dyDescent="0.25">
      <c r="A11" s="7">
        <v>10</v>
      </c>
      <c r="B11" s="8" t="s">
        <v>173</v>
      </c>
      <c r="C11" s="7" t="s">
        <v>80</v>
      </c>
      <c r="D11" s="7" t="s">
        <v>174</v>
      </c>
      <c r="E11" s="7" t="s">
        <v>175</v>
      </c>
      <c r="F11" s="7" t="s">
        <v>176</v>
      </c>
      <c r="G11" s="7" t="s">
        <v>84</v>
      </c>
      <c r="H11" s="7" t="s">
        <v>177</v>
      </c>
      <c r="I11" s="9" t="s">
        <v>178</v>
      </c>
      <c r="J11" s="7" t="s">
        <v>179</v>
      </c>
      <c r="K11" s="7" t="s">
        <v>88</v>
      </c>
      <c r="L11" s="7" t="s">
        <v>89</v>
      </c>
      <c r="M11" s="10" t="s">
        <v>90</v>
      </c>
      <c r="N11" s="7" t="s">
        <v>91</v>
      </c>
      <c r="O11" s="7" t="s">
        <v>92</v>
      </c>
      <c r="P11" s="7" t="s">
        <v>93</v>
      </c>
      <c r="Q11" s="7" t="s">
        <v>94</v>
      </c>
      <c r="R11" s="7" t="s">
        <v>107</v>
      </c>
      <c r="S11" s="7" t="s">
        <v>108</v>
      </c>
      <c r="T11" s="7" t="s">
        <v>180</v>
      </c>
      <c r="U11" s="7" t="s">
        <v>98</v>
      </c>
      <c r="V11" s="7" t="s">
        <v>99</v>
      </c>
    </row>
    <row r="12" ht="76" customHeight="1" spans="1:22" s="7" customFormat="1" x14ac:dyDescent="0.25">
      <c r="A12" s="7">
        <v>11</v>
      </c>
      <c r="B12" s="8" t="s">
        <v>181</v>
      </c>
      <c r="C12" s="7" t="s">
        <v>80</v>
      </c>
      <c r="D12" s="7" t="s">
        <v>182</v>
      </c>
      <c r="E12" s="7" t="s">
        <v>183</v>
      </c>
      <c r="F12" s="7" t="s">
        <v>184</v>
      </c>
      <c r="G12" s="7" t="s">
        <v>185</v>
      </c>
      <c r="H12" s="7" t="s">
        <v>186</v>
      </c>
      <c r="I12" s="9" t="s">
        <v>187</v>
      </c>
      <c r="J12" s="7" t="s">
        <v>188</v>
      </c>
      <c r="K12" s="7" t="s">
        <v>189</v>
      </c>
      <c r="L12" s="7" t="s">
        <v>89</v>
      </c>
      <c r="M12" s="10" t="s">
        <v>90</v>
      </c>
      <c r="N12" s="11" t="s">
        <v>146</v>
      </c>
      <c r="O12" s="7" t="s">
        <v>92</v>
      </c>
      <c r="P12" s="12" t="s">
        <v>190</v>
      </c>
      <c r="Q12" s="7" t="s">
        <v>94</v>
      </c>
      <c r="R12" s="7" t="s">
        <v>191</v>
      </c>
      <c r="S12" s="7" t="s">
        <v>192</v>
      </c>
      <c r="T12" s="7" t="s">
        <v>193</v>
      </c>
      <c r="U12" s="7" t="s">
        <v>98</v>
      </c>
      <c r="V12" s="7" t="s">
        <v>99</v>
      </c>
    </row>
    <row r="13" ht="76" customHeight="1" spans="1:22" s="7" customFormat="1" x14ac:dyDescent="0.25">
      <c r="A13" s="7">
        <v>12</v>
      </c>
      <c r="B13" s="8" t="s">
        <v>194</v>
      </c>
      <c r="C13" s="7" t="s">
        <v>80</v>
      </c>
      <c r="D13" s="7" t="s">
        <v>195</v>
      </c>
      <c r="E13" s="7" t="s">
        <v>196</v>
      </c>
      <c r="F13" s="7" t="s">
        <v>197</v>
      </c>
      <c r="G13" s="7" t="s">
        <v>198</v>
      </c>
      <c r="H13" s="7" t="s">
        <v>199</v>
      </c>
      <c r="I13" s="9" t="s">
        <v>200</v>
      </c>
      <c r="J13" s="7" t="s">
        <v>201</v>
      </c>
      <c r="K13" s="7" t="s">
        <v>189</v>
      </c>
      <c r="L13" s="7" t="s">
        <v>89</v>
      </c>
      <c r="M13" s="10" t="s">
        <v>90</v>
      </c>
      <c r="N13" s="11" t="s">
        <v>146</v>
      </c>
      <c r="O13" s="7" t="s">
        <v>92</v>
      </c>
      <c r="P13" s="7" t="s">
        <v>93</v>
      </c>
      <c r="Q13" s="7" t="s">
        <v>94</v>
      </c>
      <c r="R13" s="7" t="s">
        <v>191</v>
      </c>
      <c r="S13" s="7" t="s">
        <v>192</v>
      </c>
      <c r="T13" s="7" t="s">
        <v>202</v>
      </c>
      <c r="U13" s="7" t="s">
        <v>98</v>
      </c>
      <c r="V13" s="7" t="s">
        <v>99</v>
      </c>
    </row>
    <row r="14" ht="76" customHeight="1" spans="1:22" s="7" customFormat="1" x14ac:dyDescent="0.25">
      <c r="A14" s="7">
        <v>13</v>
      </c>
      <c r="B14" s="8" t="s">
        <v>203</v>
      </c>
      <c r="C14" s="7" t="s">
        <v>80</v>
      </c>
      <c r="D14" s="7" t="s">
        <v>101</v>
      </c>
      <c r="E14" s="7" t="s">
        <v>204</v>
      </c>
      <c r="F14" s="7" t="s">
        <v>205</v>
      </c>
      <c r="G14" s="7" t="s">
        <v>198</v>
      </c>
      <c r="H14" s="7" t="s">
        <v>206</v>
      </c>
      <c r="I14" s="9" t="s">
        <v>86</v>
      </c>
      <c r="J14" s="7" t="s">
        <v>207</v>
      </c>
      <c r="K14" s="7" t="s">
        <v>88</v>
      </c>
      <c r="L14" s="7" t="s">
        <v>89</v>
      </c>
      <c r="M14" s="10" t="s">
        <v>90</v>
      </c>
      <c r="N14" s="7" t="s">
        <v>91</v>
      </c>
      <c r="O14" s="7" t="s">
        <v>92</v>
      </c>
      <c r="P14" s="7" t="s">
        <v>93</v>
      </c>
      <c r="Q14" s="7" t="s">
        <v>94</v>
      </c>
      <c r="R14" s="7" t="s">
        <v>208</v>
      </c>
      <c r="S14" s="7" t="s">
        <v>209</v>
      </c>
      <c r="T14" s="7" t="s">
        <v>210</v>
      </c>
      <c r="U14" s="7" t="s">
        <v>98</v>
      </c>
      <c r="V14" s="7" t="s">
        <v>99</v>
      </c>
    </row>
    <row r="15" ht="76" customHeight="1" spans="1:22" s="7" customFormat="1" x14ac:dyDescent="0.25">
      <c r="A15" s="7">
        <v>14</v>
      </c>
      <c r="B15" s="8" t="s">
        <v>211</v>
      </c>
      <c r="C15" s="7" t="s">
        <v>80</v>
      </c>
      <c r="D15" s="7" t="s">
        <v>212</v>
      </c>
      <c r="E15" s="7" t="s">
        <v>213</v>
      </c>
      <c r="F15" s="7" t="s">
        <v>214</v>
      </c>
      <c r="G15" s="7" t="s">
        <v>198</v>
      </c>
      <c r="H15" s="7" t="s">
        <v>215</v>
      </c>
      <c r="I15" s="9" t="s">
        <v>216</v>
      </c>
      <c r="J15" s="7" t="s">
        <v>217</v>
      </c>
      <c r="K15" s="7" t="s">
        <v>88</v>
      </c>
      <c r="L15" s="7" t="s">
        <v>136</v>
      </c>
      <c r="M15" s="10" t="s">
        <v>90</v>
      </c>
      <c r="N15" s="7" t="s">
        <v>91</v>
      </c>
      <c r="O15" s="7" t="s">
        <v>92</v>
      </c>
      <c r="P15" s="7" t="s">
        <v>93</v>
      </c>
      <c r="Q15" s="7" t="s">
        <v>94</v>
      </c>
      <c r="R15" s="7" t="s">
        <v>208</v>
      </c>
      <c r="S15" s="7" t="s">
        <v>209</v>
      </c>
      <c r="T15" s="7" t="s">
        <v>218</v>
      </c>
      <c r="U15" s="7" t="s">
        <v>98</v>
      </c>
      <c r="V15" s="7" t="s">
        <v>99</v>
      </c>
    </row>
    <row r="16" ht="76" customHeight="1" spans="1:22" s="7" customFormat="1" x14ac:dyDescent="0.25">
      <c r="A16" s="7">
        <v>15</v>
      </c>
      <c r="B16" s="8" t="s">
        <v>219</v>
      </c>
      <c r="C16" s="7" t="s">
        <v>80</v>
      </c>
      <c r="D16" s="7" t="s">
        <v>220</v>
      </c>
      <c r="E16" s="7" t="s">
        <v>221</v>
      </c>
      <c r="F16" s="7" t="s">
        <v>222</v>
      </c>
      <c r="G16" s="7" t="s">
        <v>198</v>
      </c>
      <c r="H16" s="7" t="s">
        <v>223</v>
      </c>
      <c r="I16" s="9" t="s">
        <v>224</v>
      </c>
      <c r="J16" s="7" t="s">
        <v>225</v>
      </c>
      <c r="K16" s="7" t="s">
        <v>189</v>
      </c>
      <c r="L16" s="7" t="s">
        <v>89</v>
      </c>
      <c r="M16" s="10" t="s">
        <v>90</v>
      </c>
      <c r="N16" s="11" t="s">
        <v>146</v>
      </c>
      <c r="O16" s="7" t="s">
        <v>92</v>
      </c>
      <c r="P16" s="12" t="s">
        <v>190</v>
      </c>
      <c r="Q16" s="7" t="s">
        <v>94</v>
      </c>
      <c r="R16" s="7" t="s">
        <v>191</v>
      </c>
      <c r="S16" s="7" t="s">
        <v>192</v>
      </c>
      <c r="T16" s="7" t="s">
        <v>226</v>
      </c>
      <c r="U16" s="7" t="s">
        <v>98</v>
      </c>
      <c r="V16" s="7" t="s">
        <v>99</v>
      </c>
    </row>
    <row r="17" ht="76" customHeight="1" spans="1:22" s="7" customFormat="1" x14ac:dyDescent="0.25">
      <c r="A17" s="7">
        <v>16</v>
      </c>
      <c r="B17" s="8" t="s">
        <v>227</v>
      </c>
      <c r="C17" s="7" t="s">
        <v>80</v>
      </c>
      <c r="D17" s="7" t="s">
        <v>228</v>
      </c>
      <c r="E17" s="7" t="s">
        <v>229</v>
      </c>
      <c r="F17" s="7" t="s">
        <v>230</v>
      </c>
      <c r="G17" s="7" t="s">
        <v>231</v>
      </c>
      <c r="H17" s="7" t="s">
        <v>232</v>
      </c>
      <c r="I17" s="9" t="s">
        <v>200</v>
      </c>
      <c r="J17" s="7" t="s">
        <v>233</v>
      </c>
      <c r="K17" s="7" t="s">
        <v>189</v>
      </c>
      <c r="L17" s="7" t="s">
        <v>89</v>
      </c>
      <c r="M17" s="10" t="s">
        <v>90</v>
      </c>
      <c r="N17" s="11" t="s">
        <v>146</v>
      </c>
      <c r="O17" s="7" t="s">
        <v>92</v>
      </c>
      <c r="P17" s="7" t="s">
        <v>93</v>
      </c>
      <c r="Q17" s="7" t="s">
        <v>94</v>
      </c>
      <c r="R17" s="7" t="s">
        <v>191</v>
      </c>
      <c r="S17" s="7" t="s">
        <v>192</v>
      </c>
      <c r="T17" s="7" t="s">
        <v>234</v>
      </c>
      <c r="U17" s="7" t="s">
        <v>98</v>
      </c>
      <c r="V17" s="7" t="s">
        <v>99</v>
      </c>
    </row>
    <row r="18" ht="76" customHeight="1" spans="1:22" s="7" customFormat="1" x14ac:dyDescent="0.25">
      <c r="A18" s="7">
        <v>17</v>
      </c>
      <c r="B18" s="8" t="s">
        <v>235</v>
      </c>
      <c r="C18" s="7" t="s">
        <v>80</v>
      </c>
      <c r="D18" s="7" t="s">
        <v>236</v>
      </c>
      <c r="E18" s="7" t="s">
        <v>237</v>
      </c>
      <c r="F18" s="7" t="s">
        <v>238</v>
      </c>
      <c r="G18" s="7" t="s">
        <v>231</v>
      </c>
      <c r="H18" s="7" t="s">
        <v>239</v>
      </c>
      <c r="I18" s="9" t="s">
        <v>240</v>
      </c>
      <c r="J18" s="7" t="s">
        <v>241</v>
      </c>
      <c r="K18" s="7" t="s">
        <v>88</v>
      </c>
      <c r="L18" s="7" t="s">
        <v>89</v>
      </c>
      <c r="M18" s="10" t="s">
        <v>90</v>
      </c>
      <c r="N18" s="7" t="s">
        <v>91</v>
      </c>
      <c r="O18" s="7" t="s">
        <v>92</v>
      </c>
      <c r="P18" s="7" t="s">
        <v>93</v>
      </c>
      <c r="Q18" s="7" t="s">
        <v>94</v>
      </c>
      <c r="R18" s="7" t="s">
        <v>208</v>
      </c>
      <c r="S18" s="7" t="s">
        <v>209</v>
      </c>
      <c r="T18" s="7" t="s">
        <v>242</v>
      </c>
      <c r="U18" s="7" t="s">
        <v>98</v>
      </c>
      <c r="V18" s="7" t="s">
        <v>99</v>
      </c>
    </row>
    <row r="19" ht="76" customHeight="1" spans="1:22" s="7" customFormat="1" x14ac:dyDescent="0.25">
      <c r="A19" s="7">
        <v>18</v>
      </c>
      <c r="B19" s="8" t="s">
        <v>243</v>
      </c>
      <c r="C19" s="7" t="s">
        <v>80</v>
      </c>
      <c r="D19" s="7" t="s">
        <v>244</v>
      </c>
      <c r="E19" s="7" t="s">
        <v>245</v>
      </c>
      <c r="F19" s="7" t="s">
        <v>246</v>
      </c>
      <c r="G19" s="7" t="s">
        <v>84</v>
      </c>
      <c r="H19" s="7" t="s">
        <v>247</v>
      </c>
      <c r="I19" s="9" t="s">
        <v>248</v>
      </c>
      <c r="J19" s="7" t="s">
        <v>249</v>
      </c>
      <c r="K19" s="7" t="s">
        <v>88</v>
      </c>
      <c r="L19" s="7" t="s">
        <v>250</v>
      </c>
      <c r="M19" s="10" t="s">
        <v>90</v>
      </c>
      <c r="N19" s="7" t="s">
        <v>91</v>
      </c>
      <c r="O19" s="7" t="s">
        <v>92</v>
      </c>
      <c r="P19" s="7" t="s">
        <v>93</v>
      </c>
      <c r="Q19" s="7" t="s">
        <v>94</v>
      </c>
      <c r="R19" s="7" t="s">
        <v>251</v>
      </c>
      <c r="S19" s="7" t="s">
        <v>252</v>
      </c>
      <c r="T19" s="7" t="s">
        <v>253</v>
      </c>
      <c r="U19" s="7" t="s">
        <v>98</v>
      </c>
      <c r="V19" s="7" t="s">
        <v>99</v>
      </c>
    </row>
    <row r="20" ht="76" customHeight="1" spans="1:22" s="7" customFormat="1" x14ac:dyDescent="0.25">
      <c r="A20" s="7">
        <v>19</v>
      </c>
      <c r="B20" s="8" t="s">
        <v>254</v>
      </c>
      <c r="C20" s="7" t="s">
        <v>80</v>
      </c>
      <c r="D20" s="7" t="s">
        <v>255</v>
      </c>
      <c r="E20" s="7" t="s">
        <v>256</v>
      </c>
      <c r="F20" s="7" t="s">
        <v>257</v>
      </c>
      <c r="G20" s="7" t="s">
        <v>84</v>
      </c>
      <c r="H20" s="7" t="s">
        <v>258</v>
      </c>
      <c r="I20" s="9" t="s">
        <v>259</v>
      </c>
      <c r="J20" s="7" t="s">
        <v>260</v>
      </c>
      <c r="K20" s="7" t="s">
        <v>88</v>
      </c>
      <c r="L20" s="7" t="s">
        <v>250</v>
      </c>
      <c r="M20" s="10" t="s">
        <v>90</v>
      </c>
      <c r="N20" s="7" t="s">
        <v>91</v>
      </c>
      <c r="O20" s="7" t="s">
        <v>92</v>
      </c>
      <c r="P20" s="7" t="s">
        <v>93</v>
      </c>
      <c r="Q20" s="7" t="s">
        <v>94</v>
      </c>
      <c r="R20" s="7" t="s">
        <v>251</v>
      </c>
      <c r="S20" s="7" t="s">
        <v>252</v>
      </c>
      <c r="T20" s="7" t="s">
        <v>261</v>
      </c>
      <c r="U20" s="7" t="s">
        <v>98</v>
      </c>
      <c r="V20" s="7" t="s">
        <v>99</v>
      </c>
    </row>
    <row r="21" ht="76" customHeight="1" spans="1:22" s="7" customFormat="1" x14ac:dyDescent="0.25">
      <c r="A21" s="7">
        <v>20</v>
      </c>
      <c r="B21" s="8" t="s">
        <v>262</v>
      </c>
      <c r="C21" s="7" t="s">
        <v>80</v>
      </c>
      <c r="D21" s="7" t="s">
        <v>263</v>
      </c>
      <c r="E21" s="7" t="s">
        <v>264</v>
      </c>
      <c r="F21" s="7" t="s">
        <v>265</v>
      </c>
      <c r="G21" s="7" t="s">
        <v>84</v>
      </c>
      <c r="H21" s="7" t="s">
        <v>266</v>
      </c>
      <c r="I21" s="9" t="s">
        <v>267</v>
      </c>
      <c r="J21" s="7" t="s">
        <v>268</v>
      </c>
      <c r="K21" s="7" t="s">
        <v>88</v>
      </c>
      <c r="L21" s="7" t="s">
        <v>250</v>
      </c>
      <c r="M21" s="10" t="s">
        <v>90</v>
      </c>
      <c r="N21" s="7" t="s">
        <v>91</v>
      </c>
      <c r="O21" s="7" t="s">
        <v>92</v>
      </c>
      <c r="P21" s="7" t="s">
        <v>93</v>
      </c>
      <c r="Q21" s="7" t="s">
        <v>94</v>
      </c>
      <c r="R21" s="7" t="s">
        <v>251</v>
      </c>
      <c r="S21" s="7" t="s">
        <v>252</v>
      </c>
      <c r="T21" s="7" t="s">
        <v>269</v>
      </c>
      <c r="U21" s="7" t="s">
        <v>98</v>
      </c>
      <c r="V21" s="7" t="s">
        <v>99</v>
      </c>
    </row>
    <row r="22" ht="76" customHeight="1" spans="1:22" s="7" customFormat="1" x14ac:dyDescent="0.25">
      <c r="A22" s="7">
        <v>21</v>
      </c>
      <c r="B22" s="8" t="s">
        <v>270</v>
      </c>
      <c r="C22" s="7" t="s">
        <v>80</v>
      </c>
      <c r="D22" s="7" t="s">
        <v>271</v>
      </c>
      <c r="E22" s="7" t="s">
        <v>272</v>
      </c>
      <c r="F22" s="7" t="s">
        <v>273</v>
      </c>
      <c r="G22" s="7" t="s">
        <v>84</v>
      </c>
      <c r="H22" s="7" t="s">
        <v>274</v>
      </c>
      <c r="I22" s="9" t="s">
        <v>275</v>
      </c>
      <c r="J22" s="7" t="s">
        <v>276</v>
      </c>
      <c r="K22" s="7" t="s">
        <v>88</v>
      </c>
      <c r="L22" s="7" t="s">
        <v>250</v>
      </c>
      <c r="M22" s="10" t="s">
        <v>90</v>
      </c>
      <c r="N22" s="7" t="s">
        <v>91</v>
      </c>
      <c r="O22" s="7" t="s">
        <v>92</v>
      </c>
      <c r="P22" s="7" t="s">
        <v>93</v>
      </c>
      <c r="Q22" s="7" t="s">
        <v>94</v>
      </c>
      <c r="R22" s="7" t="s">
        <v>251</v>
      </c>
      <c r="S22" s="7" t="s">
        <v>252</v>
      </c>
      <c r="T22" s="7" t="s">
        <v>277</v>
      </c>
      <c r="U22" s="7" t="s">
        <v>98</v>
      </c>
      <c r="V22" s="7" t="s">
        <v>99</v>
      </c>
    </row>
    <row r="23" ht="76" customHeight="1" spans="1:22" s="7" customFormat="1" x14ac:dyDescent="0.25">
      <c r="A23" s="7">
        <v>22</v>
      </c>
      <c r="B23" s="8" t="s">
        <v>278</v>
      </c>
      <c r="C23" s="7" t="s">
        <v>80</v>
      </c>
      <c r="D23" s="7" t="s">
        <v>279</v>
      </c>
      <c r="E23" s="7" t="s">
        <v>280</v>
      </c>
      <c r="F23" s="7" t="s">
        <v>281</v>
      </c>
      <c r="G23" s="7" t="s">
        <v>84</v>
      </c>
      <c r="H23" s="7" t="s">
        <v>282</v>
      </c>
      <c r="I23" s="9" t="s">
        <v>283</v>
      </c>
      <c r="J23" s="7" t="s">
        <v>284</v>
      </c>
      <c r="K23" s="7" t="s">
        <v>88</v>
      </c>
      <c r="L23" s="7" t="s">
        <v>250</v>
      </c>
      <c r="M23" s="10" t="s">
        <v>90</v>
      </c>
      <c r="N23" s="7" t="s">
        <v>91</v>
      </c>
      <c r="O23" s="7" t="s">
        <v>92</v>
      </c>
      <c r="P23" s="7" t="s">
        <v>93</v>
      </c>
      <c r="Q23" s="7" t="s">
        <v>94</v>
      </c>
      <c r="R23" s="7" t="s">
        <v>251</v>
      </c>
      <c r="S23" s="7" t="s">
        <v>252</v>
      </c>
      <c r="T23" s="7" t="s">
        <v>285</v>
      </c>
      <c r="U23" s="7" t="s">
        <v>98</v>
      </c>
      <c r="V23" s="7" t="s">
        <v>99</v>
      </c>
    </row>
    <row r="24" ht="76" customHeight="1" spans="1:22" s="7" customFormat="1" x14ac:dyDescent="0.25">
      <c r="A24" s="7">
        <v>23</v>
      </c>
      <c r="B24" s="8" t="s">
        <v>286</v>
      </c>
      <c r="C24" s="7" t="s">
        <v>80</v>
      </c>
      <c r="D24" s="7" t="s">
        <v>287</v>
      </c>
      <c r="E24" s="7" t="s">
        <v>288</v>
      </c>
      <c r="F24" s="7" t="s">
        <v>289</v>
      </c>
      <c r="G24" s="7" t="s">
        <v>84</v>
      </c>
      <c r="H24" s="7" t="s">
        <v>290</v>
      </c>
      <c r="I24" s="9" t="s">
        <v>291</v>
      </c>
      <c r="J24" s="7" t="s">
        <v>292</v>
      </c>
      <c r="K24" s="7" t="s">
        <v>88</v>
      </c>
      <c r="L24" s="7" t="s">
        <v>250</v>
      </c>
      <c r="M24" s="10" t="s">
        <v>90</v>
      </c>
      <c r="N24" s="11" t="s">
        <v>146</v>
      </c>
      <c r="O24" s="7" t="s">
        <v>92</v>
      </c>
      <c r="P24" s="7" t="s">
        <v>93</v>
      </c>
      <c r="Q24" s="7" t="s">
        <v>94</v>
      </c>
      <c r="R24" s="7" t="s">
        <v>251</v>
      </c>
      <c r="S24" s="7" t="s">
        <v>252</v>
      </c>
      <c r="T24" s="7" t="s">
        <v>293</v>
      </c>
      <c r="U24" s="7" t="s">
        <v>98</v>
      </c>
      <c r="V24" s="7" t="s">
        <v>99</v>
      </c>
    </row>
    <row r="25" ht="76" customHeight="1" spans="1:22" s="7" customFormat="1" x14ac:dyDescent="0.25">
      <c r="A25" s="7">
        <v>24</v>
      </c>
      <c r="B25" s="8" t="s">
        <v>294</v>
      </c>
      <c r="C25" s="7" t="s">
        <v>80</v>
      </c>
      <c r="D25" s="7" t="s">
        <v>295</v>
      </c>
      <c r="E25" s="7" t="s">
        <v>296</v>
      </c>
      <c r="F25" s="7" t="s">
        <v>297</v>
      </c>
      <c r="G25" s="7" t="s">
        <v>231</v>
      </c>
      <c r="H25" s="7" t="s">
        <v>298</v>
      </c>
      <c r="I25" s="9" t="s">
        <v>299</v>
      </c>
      <c r="J25" s="7" t="s">
        <v>300</v>
      </c>
      <c r="K25" s="7" t="s">
        <v>88</v>
      </c>
      <c r="L25" s="7" t="s">
        <v>156</v>
      </c>
      <c r="M25" s="10" t="s">
        <v>90</v>
      </c>
      <c r="N25" s="7" t="s">
        <v>91</v>
      </c>
      <c r="O25" s="7" t="s">
        <v>92</v>
      </c>
      <c r="P25" s="7" t="s">
        <v>93</v>
      </c>
      <c r="Q25" s="7" t="s">
        <v>94</v>
      </c>
      <c r="R25" s="7" t="s">
        <v>208</v>
      </c>
      <c r="S25" s="7" t="s">
        <v>209</v>
      </c>
      <c r="T25" s="7" t="s">
        <v>301</v>
      </c>
      <c r="U25" s="7" t="s">
        <v>98</v>
      </c>
      <c r="V25"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5"/>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13" customFormat="1" x14ac:dyDescent="0.25">
      <c r="A1" s="13" t="s">
        <v>59</v>
      </c>
      <c r="B1" s="13" t="s">
        <v>60</v>
      </c>
      <c r="C1" s="13" t="s">
        <v>61</v>
      </c>
      <c r="D1" s="13" t="s">
        <v>62</v>
      </c>
      <c r="E1" s="13" t="s">
        <v>63</v>
      </c>
      <c r="F1" s="13" t="s">
        <v>64</v>
      </c>
      <c r="G1" s="13" t="s">
        <v>65</v>
      </c>
      <c r="H1" s="13" t="s">
        <v>66</v>
      </c>
      <c r="I1" s="13" t="s">
        <v>302</v>
      </c>
      <c r="J1" s="13" t="s">
        <v>68</v>
      </c>
      <c r="K1" s="13" t="s">
        <v>303</v>
      </c>
      <c r="L1" s="13" t="s">
        <v>304</v>
      </c>
      <c r="M1" s="13" t="s">
        <v>71</v>
      </c>
      <c r="N1" s="13" t="s">
        <v>72</v>
      </c>
      <c r="O1" s="13" t="s">
        <v>305</v>
      </c>
      <c r="P1" s="13" t="s">
        <v>27</v>
      </c>
      <c r="Q1" s="13" t="s">
        <v>30</v>
      </c>
      <c r="R1" s="13" t="s">
        <v>306</v>
      </c>
      <c r="S1" s="13" t="s">
        <v>307</v>
      </c>
      <c r="T1" s="13" t="s">
        <v>308</v>
      </c>
      <c r="U1" s="13" t="s">
        <v>309</v>
      </c>
      <c r="V1" s="13" t="s">
        <v>310</v>
      </c>
      <c r="W1" s="13" t="s">
        <v>311</v>
      </c>
    </row>
    <row r="2" ht="76" customHeight="1" spans="1:23" s="7" customFormat="1" x14ac:dyDescent="0.25">
      <c r="A2" s="7">
        <v>1</v>
      </c>
      <c r="B2" s="8" t="s">
        <v>312</v>
      </c>
      <c r="C2" s="7" t="s">
        <v>80</v>
      </c>
      <c r="D2" s="7" t="s">
        <v>313</v>
      </c>
      <c r="E2" s="7" t="s">
        <v>314</v>
      </c>
      <c r="F2" s="7" t="s">
        <v>315</v>
      </c>
      <c r="G2" s="7" t="s">
        <v>316</v>
      </c>
      <c r="H2" s="7" t="s">
        <v>317</v>
      </c>
      <c r="I2" s="7" t="s">
        <v>318</v>
      </c>
      <c r="J2" s="7" t="s">
        <v>319</v>
      </c>
      <c r="K2" s="7" t="s">
        <v>320</v>
      </c>
      <c r="L2" s="7" t="s">
        <v>321</v>
      </c>
      <c r="M2" s="10" t="s">
        <v>90</v>
      </c>
      <c r="N2" s="7" t="s">
        <v>91</v>
      </c>
      <c r="O2" s="7" t="s">
        <v>322</v>
      </c>
      <c r="P2" s="7" t="s">
        <v>323</v>
      </c>
      <c r="Q2" s="7" t="s">
        <v>324</v>
      </c>
      <c r="R2" s="14" t="s">
        <v>325</v>
      </c>
      <c r="S2" s="14" t="s">
        <v>99</v>
      </c>
      <c r="T2" s="14" t="s">
        <v>99</v>
      </c>
      <c r="U2" s="14" t="s">
        <v>99</v>
      </c>
      <c r="V2" s="14" t="s">
        <v>99</v>
      </c>
      <c r="W2" s="14" t="s">
        <v>99</v>
      </c>
    </row>
    <row r="3" ht="76" customHeight="1" spans="1:23" s="7" customFormat="1" x14ac:dyDescent="0.25">
      <c r="A3" s="7">
        <v>2</v>
      </c>
      <c r="B3" s="8" t="s">
        <v>326</v>
      </c>
      <c r="C3" s="7" t="s">
        <v>80</v>
      </c>
      <c r="D3" s="7" t="s">
        <v>327</v>
      </c>
      <c r="E3" s="7" t="s">
        <v>328</v>
      </c>
      <c r="F3" s="7" t="s">
        <v>329</v>
      </c>
      <c r="G3" s="7" t="s">
        <v>330</v>
      </c>
      <c r="H3" s="7" t="s">
        <v>331</v>
      </c>
      <c r="I3" s="7" t="s">
        <v>332</v>
      </c>
      <c r="J3" s="7" t="s">
        <v>333</v>
      </c>
      <c r="K3" s="7" t="s">
        <v>334</v>
      </c>
      <c r="L3" s="7" t="s">
        <v>335</v>
      </c>
      <c r="M3" s="10" t="s">
        <v>90</v>
      </c>
      <c r="N3" s="7" t="s">
        <v>91</v>
      </c>
      <c r="O3" s="7" t="s">
        <v>336</v>
      </c>
      <c r="P3" s="7" t="s">
        <v>323</v>
      </c>
      <c r="Q3" s="7" t="s">
        <v>337</v>
      </c>
      <c r="R3" s="14" t="s">
        <v>325</v>
      </c>
      <c r="S3" s="14" t="s">
        <v>99</v>
      </c>
      <c r="T3" s="14" t="s">
        <v>99</v>
      </c>
      <c r="U3" s="14" t="s">
        <v>99</v>
      </c>
      <c r="V3" s="14" t="s">
        <v>99</v>
      </c>
      <c r="W3" s="14" t="s">
        <v>99</v>
      </c>
    </row>
    <row r="4" ht="76" customHeight="1" spans="1:23" s="7" customFormat="1" x14ac:dyDescent="0.25">
      <c r="A4" s="7">
        <v>3</v>
      </c>
      <c r="B4" s="8" t="s">
        <v>338</v>
      </c>
      <c r="C4" s="7" t="s">
        <v>80</v>
      </c>
      <c r="D4" s="7" t="s">
        <v>339</v>
      </c>
      <c r="E4" s="7" t="s">
        <v>340</v>
      </c>
      <c r="F4" s="7" t="s">
        <v>341</v>
      </c>
      <c r="G4" s="7" t="s">
        <v>342</v>
      </c>
      <c r="H4" s="7" t="s">
        <v>343</v>
      </c>
      <c r="I4" s="7" t="s">
        <v>344</v>
      </c>
      <c r="J4" s="7" t="s">
        <v>345</v>
      </c>
      <c r="K4" s="7" t="s">
        <v>334</v>
      </c>
      <c r="L4" s="7" t="s">
        <v>346</v>
      </c>
      <c r="M4" s="10" t="s">
        <v>90</v>
      </c>
      <c r="N4" s="7" t="s">
        <v>91</v>
      </c>
      <c r="O4" s="7" t="s">
        <v>347</v>
      </c>
      <c r="P4" s="7" t="s">
        <v>323</v>
      </c>
      <c r="Q4" s="7" t="s">
        <v>337</v>
      </c>
      <c r="R4" s="14" t="s">
        <v>325</v>
      </c>
      <c r="S4" s="14" t="s">
        <v>99</v>
      </c>
      <c r="T4" s="14" t="s">
        <v>99</v>
      </c>
      <c r="U4" s="14" t="s">
        <v>99</v>
      </c>
      <c r="V4" s="14" t="s">
        <v>99</v>
      </c>
      <c r="W4" s="14" t="s">
        <v>99</v>
      </c>
    </row>
    <row r="5" ht="76" customHeight="1" spans="1:23" s="7" customFormat="1" x14ac:dyDescent="0.25">
      <c r="A5" s="7">
        <v>4</v>
      </c>
      <c r="B5" s="8" t="s">
        <v>348</v>
      </c>
      <c r="C5" s="7" t="s">
        <v>80</v>
      </c>
      <c r="D5" s="7" t="s">
        <v>349</v>
      </c>
      <c r="E5" s="7" t="s">
        <v>350</v>
      </c>
      <c r="F5" s="7" t="s">
        <v>351</v>
      </c>
      <c r="G5" s="7" t="s">
        <v>352</v>
      </c>
      <c r="H5" s="7" t="s">
        <v>353</v>
      </c>
      <c r="I5" s="7" t="s">
        <v>354</v>
      </c>
      <c r="J5" s="7" t="s">
        <v>355</v>
      </c>
      <c r="K5" s="7" t="s">
        <v>356</v>
      </c>
      <c r="L5" s="7" t="s">
        <v>357</v>
      </c>
      <c r="M5" s="10" t="s">
        <v>90</v>
      </c>
      <c r="N5" s="7" t="s">
        <v>91</v>
      </c>
      <c r="O5" s="7" t="s">
        <v>358</v>
      </c>
      <c r="P5" s="7" t="s">
        <v>323</v>
      </c>
      <c r="Q5" s="7" t="s">
        <v>359</v>
      </c>
      <c r="R5" s="14" t="s">
        <v>325</v>
      </c>
      <c r="S5" s="14" t="s">
        <v>99</v>
      </c>
      <c r="T5" s="14" t="s">
        <v>99</v>
      </c>
      <c r="U5" s="14" t="s">
        <v>99</v>
      </c>
      <c r="V5" s="14" t="s">
        <v>99</v>
      </c>
      <c r="W5" s="14" t="s">
        <v>99</v>
      </c>
    </row>
    <row r="6" ht="76" customHeight="1" spans="1:23" s="7" customFormat="1" x14ac:dyDescent="0.25">
      <c r="A6" s="7">
        <v>5</v>
      </c>
      <c r="B6" s="8" t="s">
        <v>360</v>
      </c>
      <c r="C6" s="7" t="s">
        <v>80</v>
      </c>
      <c r="D6" s="7" t="s">
        <v>349</v>
      </c>
      <c r="E6" s="7" t="s">
        <v>361</v>
      </c>
      <c r="F6" s="7" t="s">
        <v>362</v>
      </c>
      <c r="G6" s="7" t="s">
        <v>363</v>
      </c>
      <c r="H6" s="7" t="s">
        <v>364</v>
      </c>
      <c r="I6" s="7" t="s">
        <v>365</v>
      </c>
      <c r="J6" s="7" t="s">
        <v>366</v>
      </c>
      <c r="K6" s="7" t="s">
        <v>367</v>
      </c>
      <c r="L6" s="7" t="s">
        <v>368</v>
      </c>
      <c r="M6" s="15" t="s">
        <v>369</v>
      </c>
      <c r="N6" s="7" t="s">
        <v>91</v>
      </c>
      <c r="O6" s="7" t="s">
        <v>347</v>
      </c>
      <c r="P6" s="7" t="s">
        <v>370</v>
      </c>
      <c r="Q6" s="7" t="s">
        <v>371</v>
      </c>
      <c r="R6" s="14" t="s">
        <v>325</v>
      </c>
      <c r="S6" s="14" t="s">
        <v>99</v>
      </c>
      <c r="T6" s="14" t="s">
        <v>99</v>
      </c>
      <c r="U6" s="14" t="s">
        <v>99</v>
      </c>
      <c r="V6" s="14" t="s">
        <v>99</v>
      </c>
      <c r="W6" s="14" t="s">
        <v>99</v>
      </c>
    </row>
    <row r="7" ht="76" customHeight="1" spans="1:23" s="7" customFormat="1" x14ac:dyDescent="0.25">
      <c r="A7" s="7">
        <v>6</v>
      </c>
      <c r="B7" s="8" t="s">
        <v>372</v>
      </c>
      <c r="C7" s="7" t="s">
        <v>80</v>
      </c>
      <c r="D7" s="7" t="s">
        <v>373</v>
      </c>
      <c r="E7" s="7" t="s">
        <v>374</v>
      </c>
      <c r="F7" s="7" t="s">
        <v>375</v>
      </c>
      <c r="G7" s="7" t="s">
        <v>376</v>
      </c>
      <c r="H7" s="7" t="s">
        <v>377</v>
      </c>
      <c r="I7" s="7" t="s">
        <v>378</v>
      </c>
      <c r="J7" s="7" t="s">
        <v>379</v>
      </c>
      <c r="K7" s="7" t="s">
        <v>367</v>
      </c>
      <c r="L7" s="7" t="s">
        <v>380</v>
      </c>
      <c r="M7" s="10" t="s">
        <v>90</v>
      </c>
      <c r="N7" s="7" t="s">
        <v>91</v>
      </c>
      <c r="O7" s="7" t="s">
        <v>358</v>
      </c>
      <c r="P7" s="7" t="s">
        <v>370</v>
      </c>
      <c r="Q7" s="7" t="s">
        <v>371</v>
      </c>
      <c r="R7" s="14" t="s">
        <v>325</v>
      </c>
      <c r="S7" s="14" t="s">
        <v>99</v>
      </c>
      <c r="T7" s="14" t="s">
        <v>99</v>
      </c>
      <c r="U7" s="14" t="s">
        <v>99</v>
      </c>
      <c r="V7" s="14" t="s">
        <v>99</v>
      </c>
      <c r="W7" s="14" t="s">
        <v>99</v>
      </c>
    </row>
    <row r="8" ht="76" customHeight="1" spans="1:23" s="7" customFormat="1" x14ac:dyDescent="0.25">
      <c r="A8" s="7">
        <v>7</v>
      </c>
      <c r="B8" s="8" t="s">
        <v>381</v>
      </c>
      <c r="C8" s="7" t="s">
        <v>80</v>
      </c>
      <c r="D8" s="7" t="s">
        <v>382</v>
      </c>
      <c r="E8" s="7" t="s">
        <v>383</v>
      </c>
      <c r="F8" s="7" t="s">
        <v>384</v>
      </c>
      <c r="G8" s="7" t="s">
        <v>385</v>
      </c>
      <c r="H8" s="7" t="s">
        <v>386</v>
      </c>
      <c r="I8" s="7" t="s">
        <v>387</v>
      </c>
      <c r="J8" s="7" t="s">
        <v>388</v>
      </c>
      <c r="K8" s="7" t="s">
        <v>334</v>
      </c>
      <c r="L8" s="7" t="s">
        <v>389</v>
      </c>
      <c r="M8" s="10" t="s">
        <v>90</v>
      </c>
      <c r="N8" s="7" t="s">
        <v>91</v>
      </c>
      <c r="O8" s="7" t="s">
        <v>336</v>
      </c>
      <c r="P8" s="7" t="s">
        <v>390</v>
      </c>
      <c r="Q8" s="7" t="s">
        <v>391</v>
      </c>
      <c r="R8" s="14" t="s">
        <v>325</v>
      </c>
      <c r="S8" s="14" t="s">
        <v>99</v>
      </c>
      <c r="T8" s="14" t="s">
        <v>99</v>
      </c>
      <c r="U8" s="14" t="s">
        <v>99</v>
      </c>
      <c r="V8" s="14" t="s">
        <v>99</v>
      </c>
      <c r="W8" s="14" t="s">
        <v>99</v>
      </c>
    </row>
    <row r="9" ht="76" customHeight="1" spans="1:23" s="7" customFormat="1" x14ac:dyDescent="0.25">
      <c r="A9" s="7">
        <v>8</v>
      </c>
      <c r="B9" s="8" t="s">
        <v>392</v>
      </c>
      <c r="C9" s="7" t="s">
        <v>80</v>
      </c>
      <c r="D9" s="7" t="s">
        <v>382</v>
      </c>
      <c r="E9" s="7" t="s">
        <v>393</v>
      </c>
      <c r="F9" s="7" t="s">
        <v>394</v>
      </c>
      <c r="G9" s="7" t="s">
        <v>395</v>
      </c>
      <c r="H9" s="7" t="s">
        <v>396</v>
      </c>
      <c r="I9" s="7" t="s">
        <v>397</v>
      </c>
      <c r="J9" s="7" t="s">
        <v>398</v>
      </c>
      <c r="K9" s="7" t="s">
        <v>399</v>
      </c>
      <c r="L9" s="7" t="s">
        <v>400</v>
      </c>
      <c r="M9" s="10" t="s">
        <v>90</v>
      </c>
      <c r="N9" s="7" t="s">
        <v>91</v>
      </c>
      <c r="O9" s="7" t="s">
        <v>401</v>
      </c>
      <c r="P9" s="7" t="s">
        <v>370</v>
      </c>
      <c r="Q9" s="7" t="s">
        <v>402</v>
      </c>
      <c r="R9" s="14" t="s">
        <v>325</v>
      </c>
      <c r="S9" s="14" t="s">
        <v>99</v>
      </c>
      <c r="T9" s="14" t="s">
        <v>99</v>
      </c>
      <c r="U9" s="14" t="s">
        <v>99</v>
      </c>
      <c r="V9" s="14" t="s">
        <v>99</v>
      </c>
      <c r="W9" s="14" t="s">
        <v>99</v>
      </c>
    </row>
    <row r="10" ht="76" customHeight="1" spans="1:23" s="7" customFormat="1" x14ac:dyDescent="0.25">
      <c r="A10" s="7">
        <v>9</v>
      </c>
      <c r="B10" s="8" t="s">
        <v>403</v>
      </c>
      <c r="C10" s="7" t="s">
        <v>80</v>
      </c>
      <c r="D10" s="7" t="s">
        <v>382</v>
      </c>
      <c r="E10" s="7" t="s">
        <v>404</v>
      </c>
      <c r="F10" s="7" t="s">
        <v>405</v>
      </c>
      <c r="G10" s="7" t="s">
        <v>406</v>
      </c>
      <c r="H10" s="7" t="s">
        <v>407</v>
      </c>
      <c r="I10" s="7" t="s">
        <v>408</v>
      </c>
      <c r="J10" s="7" t="s">
        <v>409</v>
      </c>
      <c r="K10" s="7" t="s">
        <v>356</v>
      </c>
      <c r="L10" s="7" t="s">
        <v>410</v>
      </c>
      <c r="M10" s="10" t="s">
        <v>90</v>
      </c>
      <c r="N10" s="7" t="s">
        <v>91</v>
      </c>
      <c r="O10" s="7" t="s">
        <v>358</v>
      </c>
      <c r="P10" s="7" t="s">
        <v>323</v>
      </c>
      <c r="Q10" s="7" t="s">
        <v>359</v>
      </c>
      <c r="R10" s="14" t="s">
        <v>325</v>
      </c>
      <c r="S10" s="14" t="s">
        <v>99</v>
      </c>
      <c r="T10" s="14" t="s">
        <v>99</v>
      </c>
      <c r="U10" s="14" t="s">
        <v>99</v>
      </c>
      <c r="V10" s="14" t="s">
        <v>99</v>
      </c>
      <c r="W10" s="14" t="s">
        <v>99</v>
      </c>
    </row>
    <row r="11" ht="76" customHeight="1" spans="1:23" s="7" customFormat="1" x14ac:dyDescent="0.25">
      <c r="A11" s="7">
        <v>10</v>
      </c>
      <c r="B11" s="8" t="s">
        <v>411</v>
      </c>
      <c r="C11" s="7" t="s">
        <v>80</v>
      </c>
      <c r="D11" s="7" t="s">
        <v>412</v>
      </c>
      <c r="E11" s="7" t="s">
        <v>413</v>
      </c>
      <c r="F11" s="7" t="s">
        <v>414</v>
      </c>
      <c r="G11" s="7" t="s">
        <v>415</v>
      </c>
      <c r="H11" s="7" t="s">
        <v>416</v>
      </c>
      <c r="I11" s="7" t="s">
        <v>417</v>
      </c>
      <c r="J11" s="7" t="s">
        <v>418</v>
      </c>
      <c r="K11" s="7" t="s">
        <v>356</v>
      </c>
      <c r="L11" s="7" t="s">
        <v>419</v>
      </c>
      <c r="M11" s="10" t="s">
        <v>90</v>
      </c>
      <c r="N11" s="7" t="s">
        <v>91</v>
      </c>
      <c r="O11" s="7" t="s">
        <v>358</v>
      </c>
      <c r="P11" s="7" t="s">
        <v>323</v>
      </c>
      <c r="Q11" s="7" t="s">
        <v>359</v>
      </c>
      <c r="R11" s="14" t="s">
        <v>325</v>
      </c>
      <c r="S11" s="14" t="s">
        <v>99</v>
      </c>
      <c r="T11" s="14" t="s">
        <v>99</v>
      </c>
      <c r="U11" s="14" t="s">
        <v>99</v>
      </c>
      <c r="V11" s="14" t="s">
        <v>99</v>
      </c>
      <c r="W11" s="14" t="s">
        <v>99</v>
      </c>
    </row>
    <row r="12" ht="76" customHeight="1" spans="1:23" s="7" customFormat="1" x14ac:dyDescent="0.25">
      <c r="A12" s="7">
        <v>11</v>
      </c>
      <c r="B12" s="8" t="s">
        <v>420</v>
      </c>
      <c r="C12" s="7" t="s">
        <v>80</v>
      </c>
      <c r="D12" s="7" t="s">
        <v>421</v>
      </c>
      <c r="E12" s="7" t="s">
        <v>422</v>
      </c>
      <c r="F12" s="7" t="s">
        <v>423</v>
      </c>
      <c r="G12" s="7" t="s">
        <v>424</v>
      </c>
      <c r="H12" s="7" t="s">
        <v>425</v>
      </c>
      <c r="I12" s="7" t="s">
        <v>426</v>
      </c>
      <c r="J12" s="7" t="s">
        <v>427</v>
      </c>
      <c r="K12" s="7" t="s">
        <v>334</v>
      </c>
      <c r="L12" s="7" t="s">
        <v>428</v>
      </c>
      <c r="M12" s="10" t="s">
        <v>90</v>
      </c>
      <c r="N12" s="7" t="s">
        <v>91</v>
      </c>
      <c r="O12" s="7" t="s">
        <v>347</v>
      </c>
      <c r="P12" s="7" t="s">
        <v>390</v>
      </c>
      <c r="Q12" s="7" t="s">
        <v>391</v>
      </c>
      <c r="R12" s="14" t="s">
        <v>325</v>
      </c>
      <c r="S12" s="14" t="s">
        <v>99</v>
      </c>
      <c r="T12" s="14" t="s">
        <v>99</v>
      </c>
      <c r="U12" s="14" t="s">
        <v>99</v>
      </c>
      <c r="V12" s="14" t="s">
        <v>99</v>
      </c>
      <c r="W12" s="14" t="s">
        <v>99</v>
      </c>
    </row>
    <row r="13" ht="76" customHeight="1" spans="1:23" s="7" customFormat="1" x14ac:dyDescent="0.25">
      <c r="A13" s="7">
        <v>12</v>
      </c>
      <c r="B13" s="8" t="s">
        <v>429</v>
      </c>
      <c r="C13" s="7" t="s">
        <v>80</v>
      </c>
      <c r="D13" s="7" t="s">
        <v>430</v>
      </c>
      <c r="E13" s="7" t="s">
        <v>431</v>
      </c>
      <c r="F13" s="7" t="s">
        <v>432</v>
      </c>
      <c r="G13" s="7" t="s">
        <v>433</v>
      </c>
      <c r="H13" s="7" t="s">
        <v>434</v>
      </c>
      <c r="I13" s="7" t="s">
        <v>435</v>
      </c>
      <c r="J13" s="7" t="s">
        <v>436</v>
      </c>
      <c r="K13" s="7" t="s">
        <v>334</v>
      </c>
      <c r="L13" s="7" t="s">
        <v>437</v>
      </c>
      <c r="M13" s="10" t="s">
        <v>90</v>
      </c>
      <c r="N13" s="7" t="s">
        <v>91</v>
      </c>
      <c r="O13" s="7" t="s">
        <v>336</v>
      </c>
      <c r="P13" s="7" t="s">
        <v>323</v>
      </c>
      <c r="Q13" s="7" t="s">
        <v>337</v>
      </c>
      <c r="R13" s="14" t="s">
        <v>325</v>
      </c>
      <c r="S13" s="14" t="s">
        <v>99</v>
      </c>
      <c r="T13" s="14" t="s">
        <v>99</v>
      </c>
      <c r="U13" s="14" t="s">
        <v>99</v>
      </c>
      <c r="V13" s="14" t="s">
        <v>99</v>
      </c>
      <c r="W13" s="14" t="s">
        <v>99</v>
      </c>
    </row>
    <row r="14" ht="76" customHeight="1" spans="1:23" s="7" customFormat="1" x14ac:dyDescent="0.25">
      <c r="A14" s="7">
        <v>13</v>
      </c>
      <c r="B14" s="8" t="s">
        <v>438</v>
      </c>
      <c r="C14" s="7" t="s">
        <v>80</v>
      </c>
      <c r="D14" s="7" t="s">
        <v>439</v>
      </c>
      <c r="E14" s="7" t="s">
        <v>440</v>
      </c>
      <c r="F14" s="7" t="s">
        <v>441</v>
      </c>
      <c r="G14" s="7" t="s">
        <v>442</v>
      </c>
      <c r="H14" s="7" t="s">
        <v>443</v>
      </c>
      <c r="I14" s="7" t="s">
        <v>444</v>
      </c>
      <c r="J14" s="7" t="s">
        <v>445</v>
      </c>
      <c r="K14" s="7" t="s">
        <v>356</v>
      </c>
      <c r="L14" s="7" t="s">
        <v>446</v>
      </c>
      <c r="M14" s="16" t="s">
        <v>447</v>
      </c>
      <c r="N14" s="11" t="s">
        <v>146</v>
      </c>
      <c r="O14" s="7" t="s">
        <v>448</v>
      </c>
      <c r="P14" s="7" t="s">
        <v>323</v>
      </c>
      <c r="Q14" s="7" t="s">
        <v>359</v>
      </c>
      <c r="R14" s="14" t="s">
        <v>325</v>
      </c>
      <c r="S14" s="14" t="s">
        <v>99</v>
      </c>
      <c r="T14" s="14" t="s">
        <v>99</v>
      </c>
      <c r="U14" s="14" t="s">
        <v>99</v>
      </c>
      <c r="V14" s="14" t="s">
        <v>99</v>
      </c>
      <c r="W14" s="14" t="s">
        <v>99</v>
      </c>
    </row>
    <row r="15" ht="76" customHeight="1" spans="1:23" s="7" customFormat="1" x14ac:dyDescent="0.25">
      <c r="A15" s="7">
        <v>14</v>
      </c>
      <c r="B15" s="8" t="s">
        <v>449</v>
      </c>
      <c r="C15" s="7" t="s">
        <v>80</v>
      </c>
      <c r="D15" s="7" t="s">
        <v>450</v>
      </c>
      <c r="E15" s="7" t="s">
        <v>451</v>
      </c>
      <c r="F15" s="7" t="s">
        <v>452</v>
      </c>
      <c r="G15" s="7" t="s">
        <v>453</v>
      </c>
      <c r="H15" s="7" t="s">
        <v>454</v>
      </c>
      <c r="I15" s="7" t="s">
        <v>455</v>
      </c>
      <c r="J15" s="7" t="s">
        <v>456</v>
      </c>
      <c r="K15" s="7" t="s">
        <v>356</v>
      </c>
      <c r="L15" s="7" t="s">
        <v>457</v>
      </c>
      <c r="M15" s="10" t="s">
        <v>90</v>
      </c>
      <c r="N15" s="7" t="s">
        <v>91</v>
      </c>
      <c r="O15" s="7" t="s">
        <v>458</v>
      </c>
      <c r="P15" s="7" t="s">
        <v>323</v>
      </c>
      <c r="Q15" s="7" t="s">
        <v>359</v>
      </c>
      <c r="R15" s="14" t="s">
        <v>325</v>
      </c>
      <c r="S15" s="14" t="s">
        <v>99</v>
      </c>
      <c r="T15" s="14" t="s">
        <v>99</v>
      </c>
      <c r="U15" s="14" t="s">
        <v>99</v>
      </c>
      <c r="V15" s="14" t="s">
        <v>99</v>
      </c>
      <c r="W15" s="14" t="s">
        <v>99</v>
      </c>
    </row>
    <row r="16" ht="76" customHeight="1" spans="1:23" s="7" customFormat="1" x14ac:dyDescent="0.25">
      <c r="A16" s="7">
        <v>15</v>
      </c>
      <c r="B16" s="8" t="s">
        <v>459</v>
      </c>
      <c r="C16" s="7" t="s">
        <v>80</v>
      </c>
      <c r="D16" s="7" t="s">
        <v>460</v>
      </c>
      <c r="E16" s="7" t="s">
        <v>461</v>
      </c>
      <c r="F16" s="7" t="s">
        <v>462</v>
      </c>
      <c r="G16" s="7" t="s">
        <v>463</v>
      </c>
      <c r="H16" s="7" t="s">
        <v>464</v>
      </c>
      <c r="I16" s="7" t="s">
        <v>465</v>
      </c>
      <c r="J16" s="7" t="s">
        <v>466</v>
      </c>
      <c r="K16" s="7" t="s">
        <v>367</v>
      </c>
      <c r="L16" s="7" t="s">
        <v>467</v>
      </c>
      <c r="M16" s="16" t="s">
        <v>447</v>
      </c>
      <c r="N16" s="11" t="s">
        <v>146</v>
      </c>
      <c r="O16" s="7" t="s">
        <v>458</v>
      </c>
      <c r="P16" s="7" t="s">
        <v>468</v>
      </c>
      <c r="Q16" s="7" t="s">
        <v>469</v>
      </c>
      <c r="R16" s="14" t="s">
        <v>325</v>
      </c>
      <c r="S16" s="14" t="s">
        <v>99</v>
      </c>
      <c r="T16" s="14" t="s">
        <v>99</v>
      </c>
      <c r="U16" s="14" t="s">
        <v>99</v>
      </c>
      <c r="V16" s="14" t="s">
        <v>99</v>
      </c>
      <c r="W16" s="14" t="s">
        <v>99</v>
      </c>
    </row>
    <row r="17" ht="76" customHeight="1" spans="1:23" s="7" customFormat="1" x14ac:dyDescent="0.25">
      <c r="A17" s="7">
        <v>16</v>
      </c>
      <c r="B17" s="8" t="s">
        <v>470</v>
      </c>
      <c r="C17" s="7" t="s">
        <v>80</v>
      </c>
      <c r="D17" s="7" t="s">
        <v>471</v>
      </c>
      <c r="E17" s="7" t="s">
        <v>472</v>
      </c>
      <c r="F17" s="7" t="s">
        <v>473</v>
      </c>
      <c r="G17" s="7" t="s">
        <v>474</v>
      </c>
      <c r="H17" s="7" t="s">
        <v>475</v>
      </c>
      <c r="I17" s="7" t="s">
        <v>476</v>
      </c>
      <c r="J17" s="7" t="s">
        <v>477</v>
      </c>
      <c r="K17" s="7" t="s">
        <v>356</v>
      </c>
      <c r="L17" s="7" t="s">
        <v>478</v>
      </c>
      <c r="M17" s="16" t="s">
        <v>447</v>
      </c>
      <c r="N17" s="11" t="s">
        <v>146</v>
      </c>
      <c r="O17" s="7" t="s">
        <v>322</v>
      </c>
      <c r="P17" s="7" t="s">
        <v>468</v>
      </c>
      <c r="Q17" s="7" t="s">
        <v>479</v>
      </c>
      <c r="R17" s="14" t="s">
        <v>325</v>
      </c>
      <c r="S17" s="14" t="s">
        <v>99</v>
      </c>
      <c r="T17" s="14" t="s">
        <v>99</v>
      </c>
      <c r="U17" s="14" t="s">
        <v>99</v>
      </c>
      <c r="V17" s="14" t="s">
        <v>99</v>
      </c>
      <c r="W17" s="14" t="s">
        <v>99</v>
      </c>
    </row>
    <row r="18" ht="76" customHeight="1" spans="1:23" s="7" customFormat="1" x14ac:dyDescent="0.25">
      <c r="A18" s="7">
        <v>17</v>
      </c>
      <c r="B18" s="8" t="s">
        <v>480</v>
      </c>
      <c r="C18" s="7" t="s">
        <v>80</v>
      </c>
      <c r="D18" s="7" t="s">
        <v>481</v>
      </c>
      <c r="E18" s="7" t="s">
        <v>482</v>
      </c>
      <c r="F18" s="7" t="s">
        <v>483</v>
      </c>
      <c r="G18" s="7" t="s">
        <v>484</v>
      </c>
      <c r="H18" s="7" t="s">
        <v>485</v>
      </c>
      <c r="I18" s="7" t="s">
        <v>486</v>
      </c>
      <c r="J18" s="7" t="s">
        <v>487</v>
      </c>
      <c r="K18" s="7" t="s">
        <v>356</v>
      </c>
      <c r="L18" s="7" t="s">
        <v>488</v>
      </c>
      <c r="M18" s="16" t="s">
        <v>447</v>
      </c>
      <c r="N18" s="11" t="s">
        <v>146</v>
      </c>
      <c r="O18" s="7" t="s">
        <v>336</v>
      </c>
      <c r="P18" s="7" t="s">
        <v>323</v>
      </c>
      <c r="Q18" s="7" t="s">
        <v>359</v>
      </c>
      <c r="R18" s="14" t="s">
        <v>325</v>
      </c>
      <c r="S18" s="14" t="s">
        <v>99</v>
      </c>
      <c r="T18" s="14" t="s">
        <v>99</v>
      </c>
      <c r="U18" s="14" t="s">
        <v>99</v>
      </c>
      <c r="V18" s="14" t="s">
        <v>99</v>
      </c>
      <c r="W18" s="14" t="s">
        <v>99</v>
      </c>
    </row>
    <row r="19" ht="76" customHeight="1" spans="1:23" s="7" customFormat="1" x14ac:dyDescent="0.25">
      <c r="A19" s="7">
        <v>18</v>
      </c>
      <c r="B19" s="8" t="s">
        <v>489</v>
      </c>
      <c r="C19" s="7" t="s">
        <v>80</v>
      </c>
      <c r="D19" s="7" t="s">
        <v>490</v>
      </c>
      <c r="E19" s="7" t="s">
        <v>491</v>
      </c>
      <c r="F19" s="7" t="s">
        <v>492</v>
      </c>
      <c r="G19" s="7" t="s">
        <v>493</v>
      </c>
      <c r="H19" s="7" t="s">
        <v>494</v>
      </c>
      <c r="I19" s="7" t="s">
        <v>495</v>
      </c>
      <c r="J19" s="7" t="s">
        <v>496</v>
      </c>
      <c r="K19" s="7" t="s">
        <v>399</v>
      </c>
      <c r="L19" s="7" t="s">
        <v>497</v>
      </c>
      <c r="M19" s="10" t="s">
        <v>90</v>
      </c>
      <c r="N19" s="7" t="s">
        <v>91</v>
      </c>
      <c r="O19" s="7" t="s">
        <v>336</v>
      </c>
      <c r="P19" s="7" t="s">
        <v>390</v>
      </c>
      <c r="Q19" s="7" t="s">
        <v>498</v>
      </c>
      <c r="R19" s="14" t="s">
        <v>325</v>
      </c>
      <c r="S19" s="14" t="s">
        <v>99</v>
      </c>
      <c r="T19" s="14" t="s">
        <v>99</v>
      </c>
      <c r="U19" s="14" t="s">
        <v>99</v>
      </c>
      <c r="V19" s="14" t="s">
        <v>99</v>
      </c>
      <c r="W19" s="14" t="s">
        <v>99</v>
      </c>
    </row>
    <row r="20" ht="76" customHeight="1" spans="1:23" s="7" customFormat="1" x14ac:dyDescent="0.25">
      <c r="A20" s="7">
        <v>19</v>
      </c>
      <c r="B20" s="8" t="s">
        <v>499</v>
      </c>
      <c r="C20" s="7" t="s">
        <v>80</v>
      </c>
      <c r="D20" s="7" t="s">
        <v>500</v>
      </c>
      <c r="E20" s="7" t="s">
        <v>501</v>
      </c>
      <c r="F20" s="7" t="s">
        <v>502</v>
      </c>
      <c r="G20" s="7" t="s">
        <v>503</v>
      </c>
      <c r="H20" s="7" t="s">
        <v>504</v>
      </c>
      <c r="I20" s="7" t="s">
        <v>505</v>
      </c>
      <c r="J20" s="7" t="s">
        <v>506</v>
      </c>
      <c r="K20" s="7" t="s">
        <v>399</v>
      </c>
      <c r="L20" s="7" t="s">
        <v>507</v>
      </c>
      <c r="M20" s="10" t="s">
        <v>90</v>
      </c>
      <c r="N20" s="7" t="s">
        <v>91</v>
      </c>
      <c r="O20" s="7" t="s">
        <v>336</v>
      </c>
      <c r="P20" s="7" t="s">
        <v>323</v>
      </c>
      <c r="Q20" s="7" t="s">
        <v>508</v>
      </c>
      <c r="R20" s="14" t="s">
        <v>325</v>
      </c>
      <c r="S20" s="14" t="s">
        <v>99</v>
      </c>
      <c r="T20" s="14" t="s">
        <v>99</v>
      </c>
      <c r="U20" s="14" t="s">
        <v>99</v>
      </c>
      <c r="V20" s="14" t="s">
        <v>99</v>
      </c>
      <c r="W20" s="14" t="s">
        <v>99</v>
      </c>
    </row>
    <row r="21" ht="76" customHeight="1" spans="1:23" s="7" customFormat="1" x14ac:dyDescent="0.25">
      <c r="A21" s="7">
        <v>20</v>
      </c>
      <c r="B21" s="8" t="s">
        <v>509</v>
      </c>
      <c r="C21" s="7" t="s">
        <v>80</v>
      </c>
      <c r="D21" s="7" t="s">
        <v>510</v>
      </c>
      <c r="E21" s="7" t="s">
        <v>511</v>
      </c>
      <c r="F21" s="7" t="s">
        <v>512</v>
      </c>
      <c r="G21" s="7" t="s">
        <v>513</v>
      </c>
      <c r="H21" s="7" t="s">
        <v>514</v>
      </c>
      <c r="I21" s="7" t="s">
        <v>515</v>
      </c>
      <c r="J21" s="7" t="s">
        <v>516</v>
      </c>
      <c r="K21" s="7" t="s">
        <v>334</v>
      </c>
      <c r="L21" s="7" t="s">
        <v>517</v>
      </c>
      <c r="M21" s="10" t="s">
        <v>90</v>
      </c>
      <c r="N21" s="7" t="s">
        <v>91</v>
      </c>
      <c r="O21" s="7" t="s">
        <v>336</v>
      </c>
      <c r="P21" s="7" t="s">
        <v>370</v>
      </c>
      <c r="Q21" s="7" t="s">
        <v>518</v>
      </c>
      <c r="R21" s="14" t="s">
        <v>325</v>
      </c>
      <c r="S21" s="14" t="s">
        <v>99</v>
      </c>
      <c r="T21" s="14" t="s">
        <v>99</v>
      </c>
      <c r="U21" s="14" t="s">
        <v>99</v>
      </c>
      <c r="V21" s="14" t="s">
        <v>99</v>
      </c>
      <c r="W21" s="14" t="s">
        <v>99</v>
      </c>
    </row>
    <row r="22" ht="76" customHeight="1" spans="1:23" s="7" customFormat="1" x14ac:dyDescent="0.25">
      <c r="A22" s="7">
        <v>21</v>
      </c>
      <c r="B22" s="8" t="s">
        <v>519</v>
      </c>
      <c r="C22" s="7" t="s">
        <v>80</v>
      </c>
      <c r="D22" s="7" t="s">
        <v>520</v>
      </c>
      <c r="E22" s="7" t="s">
        <v>521</v>
      </c>
      <c r="F22" s="7" t="s">
        <v>522</v>
      </c>
      <c r="G22" s="7" t="s">
        <v>523</v>
      </c>
      <c r="H22" s="7" t="s">
        <v>524</v>
      </c>
      <c r="I22" s="7" t="s">
        <v>525</v>
      </c>
      <c r="J22" s="7" t="s">
        <v>526</v>
      </c>
      <c r="K22" s="7" t="s">
        <v>367</v>
      </c>
      <c r="L22" s="7" t="s">
        <v>527</v>
      </c>
      <c r="M22" s="15" t="s">
        <v>369</v>
      </c>
      <c r="N22" s="7" t="s">
        <v>91</v>
      </c>
      <c r="O22" s="7" t="s">
        <v>336</v>
      </c>
      <c r="P22" s="7" t="s">
        <v>468</v>
      </c>
      <c r="Q22" s="7" t="s">
        <v>469</v>
      </c>
      <c r="R22" s="14" t="s">
        <v>325</v>
      </c>
      <c r="S22" s="14" t="s">
        <v>99</v>
      </c>
      <c r="T22" s="14" t="s">
        <v>99</v>
      </c>
      <c r="U22" s="14" t="s">
        <v>99</v>
      </c>
      <c r="V22" s="14" t="s">
        <v>99</v>
      </c>
      <c r="W22" s="14" t="s">
        <v>99</v>
      </c>
    </row>
    <row r="23" ht="76" customHeight="1" spans="1:23" s="7" customFormat="1" x14ac:dyDescent="0.25">
      <c r="A23" s="7">
        <v>22</v>
      </c>
      <c r="B23" s="8" t="s">
        <v>528</v>
      </c>
      <c r="C23" s="7" t="s">
        <v>80</v>
      </c>
      <c r="D23" s="7" t="s">
        <v>529</v>
      </c>
      <c r="E23" s="7" t="s">
        <v>530</v>
      </c>
      <c r="F23" s="7" t="s">
        <v>531</v>
      </c>
      <c r="G23" s="7" t="s">
        <v>532</v>
      </c>
      <c r="H23" s="7" t="s">
        <v>533</v>
      </c>
      <c r="I23" s="7" t="s">
        <v>534</v>
      </c>
      <c r="J23" s="7" t="s">
        <v>535</v>
      </c>
      <c r="K23" s="7" t="s">
        <v>356</v>
      </c>
      <c r="L23" s="7" t="s">
        <v>536</v>
      </c>
      <c r="M23" s="10" t="s">
        <v>90</v>
      </c>
      <c r="N23" s="7" t="s">
        <v>91</v>
      </c>
      <c r="O23" s="7" t="s">
        <v>458</v>
      </c>
      <c r="P23" s="7" t="s">
        <v>323</v>
      </c>
      <c r="Q23" s="7" t="s">
        <v>359</v>
      </c>
      <c r="R23" s="14" t="s">
        <v>325</v>
      </c>
      <c r="S23" s="14" t="s">
        <v>99</v>
      </c>
      <c r="T23" s="14" t="s">
        <v>99</v>
      </c>
      <c r="U23" s="14" t="s">
        <v>99</v>
      </c>
      <c r="V23" s="14" t="s">
        <v>99</v>
      </c>
      <c r="W23" s="14" t="s">
        <v>99</v>
      </c>
    </row>
    <row r="24" ht="76" customHeight="1" spans="1:23" s="7" customFormat="1" x14ac:dyDescent="0.25">
      <c r="A24" s="7">
        <v>23</v>
      </c>
      <c r="B24" s="8" t="s">
        <v>537</v>
      </c>
      <c r="C24" s="7" t="s">
        <v>80</v>
      </c>
      <c r="D24" s="7" t="s">
        <v>538</v>
      </c>
      <c r="E24" s="7" t="s">
        <v>539</v>
      </c>
      <c r="F24" s="7" t="s">
        <v>540</v>
      </c>
      <c r="G24" s="7" t="s">
        <v>541</v>
      </c>
      <c r="H24" s="7" t="s">
        <v>542</v>
      </c>
      <c r="I24" s="7" t="s">
        <v>543</v>
      </c>
      <c r="J24" s="7" t="s">
        <v>544</v>
      </c>
      <c r="K24" s="7" t="s">
        <v>334</v>
      </c>
      <c r="L24" s="7" t="s">
        <v>545</v>
      </c>
      <c r="M24" s="10" t="s">
        <v>90</v>
      </c>
      <c r="N24" s="7" t="s">
        <v>91</v>
      </c>
      <c r="O24" s="7" t="s">
        <v>336</v>
      </c>
      <c r="P24" s="7" t="s">
        <v>323</v>
      </c>
      <c r="Q24" s="7" t="s">
        <v>337</v>
      </c>
      <c r="R24" s="14" t="s">
        <v>325</v>
      </c>
      <c r="S24" s="14" t="s">
        <v>99</v>
      </c>
      <c r="T24" s="14" t="s">
        <v>99</v>
      </c>
      <c r="U24" s="14" t="s">
        <v>99</v>
      </c>
      <c r="V24" s="14" t="s">
        <v>99</v>
      </c>
      <c r="W24" s="14" t="s">
        <v>99</v>
      </c>
    </row>
    <row r="25" ht="76" customHeight="1" spans="1:23" s="7" customFormat="1" x14ac:dyDescent="0.25">
      <c r="A25" s="7">
        <v>24</v>
      </c>
      <c r="B25" s="8" t="s">
        <v>546</v>
      </c>
      <c r="C25" s="7" t="s">
        <v>80</v>
      </c>
      <c r="D25" s="7" t="s">
        <v>547</v>
      </c>
      <c r="E25" s="7" t="s">
        <v>548</v>
      </c>
      <c r="F25" s="7" t="s">
        <v>549</v>
      </c>
      <c r="G25" s="7" t="s">
        <v>550</v>
      </c>
      <c r="H25" s="7" t="s">
        <v>551</v>
      </c>
      <c r="I25" s="7" t="s">
        <v>552</v>
      </c>
      <c r="J25" s="7" t="s">
        <v>553</v>
      </c>
      <c r="K25" s="7" t="s">
        <v>399</v>
      </c>
      <c r="L25" s="7" t="s">
        <v>554</v>
      </c>
      <c r="M25" s="10" t="s">
        <v>90</v>
      </c>
      <c r="N25" s="7" t="s">
        <v>91</v>
      </c>
      <c r="O25" s="7" t="s">
        <v>555</v>
      </c>
      <c r="P25" s="7" t="s">
        <v>323</v>
      </c>
      <c r="Q25" s="7" t="s">
        <v>508</v>
      </c>
      <c r="R25" s="14" t="s">
        <v>325</v>
      </c>
      <c r="S25" s="14" t="s">
        <v>99</v>
      </c>
      <c r="T25" s="14" t="s">
        <v>99</v>
      </c>
      <c r="U25" s="14" t="s">
        <v>99</v>
      </c>
      <c r="V25" s="14" t="s">
        <v>99</v>
      </c>
      <c r="W25" s="14" t="s">
        <v>99</v>
      </c>
    </row>
    <row r="26" ht="76" customHeight="1" spans="1:23" s="7" customFormat="1" x14ac:dyDescent="0.25">
      <c r="A26" s="7">
        <v>25</v>
      </c>
      <c r="B26" s="8" t="s">
        <v>556</v>
      </c>
      <c r="C26" s="7" t="s">
        <v>80</v>
      </c>
      <c r="D26" s="7" t="s">
        <v>557</v>
      </c>
      <c r="E26" s="7" t="s">
        <v>558</v>
      </c>
      <c r="F26" s="7" t="s">
        <v>559</v>
      </c>
      <c r="G26" s="7" t="s">
        <v>560</v>
      </c>
      <c r="H26" s="7" t="s">
        <v>561</v>
      </c>
      <c r="I26" s="7" t="s">
        <v>562</v>
      </c>
      <c r="J26" s="7" t="s">
        <v>563</v>
      </c>
      <c r="K26" s="7" t="s">
        <v>356</v>
      </c>
      <c r="L26" s="7" t="s">
        <v>564</v>
      </c>
      <c r="M26" s="16" t="s">
        <v>447</v>
      </c>
      <c r="N26" s="11" t="s">
        <v>146</v>
      </c>
      <c r="O26" s="7" t="s">
        <v>565</v>
      </c>
      <c r="P26" s="7" t="s">
        <v>323</v>
      </c>
      <c r="Q26" s="7" t="s">
        <v>359</v>
      </c>
      <c r="R26" s="14" t="s">
        <v>325</v>
      </c>
      <c r="S26" s="14" t="s">
        <v>99</v>
      </c>
      <c r="T26" s="14" t="s">
        <v>99</v>
      </c>
      <c r="U26" s="14" t="s">
        <v>99</v>
      </c>
      <c r="V26" s="14" t="s">
        <v>99</v>
      </c>
      <c r="W26" s="14" t="s">
        <v>99</v>
      </c>
    </row>
    <row r="27" ht="76" customHeight="1" spans="1:23" s="7" customFormat="1" x14ac:dyDescent="0.25">
      <c r="A27" s="7">
        <v>26</v>
      </c>
      <c r="B27" s="8" t="s">
        <v>566</v>
      </c>
      <c r="C27" s="7" t="s">
        <v>80</v>
      </c>
      <c r="D27" s="7" t="s">
        <v>567</v>
      </c>
      <c r="E27" s="7" t="s">
        <v>568</v>
      </c>
      <c r="F27" s="7" t="s">
        <v>569</v>
      </c>
      <c r="G27" s="7" t="s">
        <v>570</v>
      </c>
      <c r="H27" s="7" t="s">
        <v>571</v>
      </c>
      <c r="I27" s="7" t="s">
        <v>572</v>
      </c>
      <c r="J27" s="7" t="s">
        <v>573</v>
      </c>
      <c r="K27" s="7" t="s">
        <v>367</v>
      </c>
      <c r="L27" s="7" t="s">
        <v>574</v>
      </c>
      <c r="M27" s="16" t="s">
        <v>447</v>
      </c>
      <c r="N27" s="11" t="s">
        <v>146</v>
      </c>
      <c r="O27" s="7" t="s">
        <v>565</v>
      </c>
      <c r="P27" s="7" t="s">
        <v>468</v>
      </c>
      <c r="Q27" s="7" t="s">
        <v>469</v>
      </c>
      <c r="R27" s="14" t="s">
        <v>325</v>
      </c>
      <c r="S27" s="14" t="s">
        <v>99</v>
      </c>
      <c r="T27" s="14" t="s">
        <v>99</v>
      </c>
      <c r="U27" s="14" t="s">
        <v>99</v>
      </c>
      <c r="V27" s="14" t="s">
        <v>99</v>
      </c>
      <c r="W27" s="14" t="s">
        <v>99</v>
      </c>
    </row>
    <row r="28" ht="76" customHeight="1" spans="1:23" s="7" customFormat="1" x14ac:dyDescent="0.25">
      <c r="A28" s="7">
        <v>27</v>
      </c>
      <c r="B28" s="8" t="s">
        <v>575</v>
      </c>
      <c r="C28" s="7" t="s">
        <v>80</v>
      </c>
      <c r="D28" s="7" t="s">
        <v>576</v>
      </c>
      <c r="E28" s="7" t="s">
        <v>577</v>
      </c>
      <c r="F28" s="7" t="s">
        <v>578</v>
      </c>
      <c r="G28" s="7" t="s">
        <v>579</v>
      </c>
      <c r="H28" s="7" t="s">
        <v>580</v>
      </c>
      <c r="I28" s="7" t="s">
        <v>581</v>
      </c>
      <c r="J28" s="7" t="s">
        <v>582</v>
      </c>
      <c r="K28" s="7" t="s">
        <v>334</v>
      </c>
      <c r="L28" s="7" t="s">
        <v>583</v>
      </c>
      <c r="M28" s="16" t="s">
        <v>447</v>
      </c>
      <c r="N28" s="11" t="s">
        <v>146</v>
      </c>
      <c r="O28" s="7" t="s">
        <v>336</v>
      </c>
      <c r="P28" s="7" t="s">
        <v>390</v>
      </c>
      <c r="Q28" s="7" t="s">
        <v>391</v>
      </c>
      <c r="R28" s="14" t="s">
        <v>325</v>
      </c>
      <c r="S28" s="14" t="s">
        <v>99</v>
      </c>
      <c r="T28" s="14" t="s">
        <v>99</v>
      </c>
      <c r="U28" s="14" t="s">
        <v>99</v>
      </c>
      <c r="V28" s="14" t="s">
        <v>99</v>
      </c>
      <c r="W28" s="14" t="s">
        <v>99</v>
      </c>
    </row>
    <row r="29" ht="76" customHeight="1" spans="1:23" s="7" customFormat="1" x14ac:dyDescent="0.25">
      <c r="A29" s="7">
        <v>28</v>
      </c>
      <c r="B29" s="8" t="s">
        <v>584</v>
      </c>
      <c r="C29" s="7" t="s">
        <v>80</v>
      </c>
      <c r="D29" s="7" t="s">
        <v>585</v>
      </c>
      <c r="E29" s="7" t="s">
        <v>586</v>
      </c>
      <c r="F29" s="7" t="s">
        <v>587</v>
      </c>
      <c r="G29" s="7" t="s">
        <v>588</v>
      </c>
      <c r="H29" s="7" t="s">
        <v>589</v>
      </c>
      <c r="I29" s="7" t="s">
        <v>590</v>
      </c>
      <c r="J29" s="7" t="s">
        <v>591</v>
      </c>
      <c r="K29" s="7" t="s">
        <v>399</v>
      </c>
      <c r="L29" s="7" t="s">
        <v>592</v>
      </c>
      <c r="M29" s="16" t="s">
        <v>447</v>
      </c>
      <c r="N29" s="11" t="s">
        <v>146</v>
      </c>
      <c r="O29" s="7" t="s">
        <v>555</v>
      </c>
      <c r="P29" s="7" t="s">
        <v>390</v>
      </c>
      <c r="Q29" s="7" t="s">
        <v>498</v>
      </c>
      <c r="R29" s="14" t="s">
        <v>325</v>
      </c>
      <c r="S29" s="14" t="s">
        <v>99</v>
      </c>
      <c r="T29" s="14" t="s">
        <v>99</v>
      </c>
      <c r="U29" s="14" t="s">
        <v>99</v>
      </c>
      <c r="V29" s="14" t="s">
        <v>99</v>
      </c>
      <c r="W29" s="14" t="s">
        <v>99</v>
      </c>
    </row>
    <row r="30" ht="76" customHeight="1" spans="1:23" s="7" customFormat="1" x14ac:dyDescent="0.25">
      <c r="A30" s="7">
        <v>29</v>
      </c>
      <c r="B30" s="8" t="s">
        <v>593</v>
      </c>
      <c r="C30" s="7" t="s">
        <v>80</v>
      </c>
      <c r="D30" s="7" t="s">
        <v>594</v>
      </c>
      <c r="E30" s="7" t="s">
        <v>595</v>
      </c>
      <c r="F30" s="7" t="s">
        <v>596</v>
      </c>
      <c r="G30" s="7" t="s">
        <v>597</v>
      </c>
      <c r="H30" s="7" t="s">
        <v>598</v>
      </c>
      <c r="I30" s="7" t="s">
        <v>599</v>
      </c>
      <c r="J30" s="7" t="s">
        <v>600</v>
      </c>
      <c r="K30" s="7" t="s">
        <v>356</v>
      </c>
      <c r="L30" s="7" t="s">
        <v>601</v>
      </c>
      <c r="M30" s="16" t="s">
        <v>447</v>
      </c>
      <c r="N30" s="11" t="s">
        <v>146</v>
      </c>
      <c r="O30" s="7" t="s">
        <v>602</v>
      </c>
      <c r="P30" s="7" t="s">
        <v>323</v>
      </c>
      <c r="Q30" s="7" t="s">
        <v>359</v>
      </c>
      <c r="R30" s="14" t="s">
        <v>325</v>
      </c>
      <c r="S30" s="14" t="s">
        <v>99</v>
      </c>
      <c r="T30" s="14" t="s">
        <v>99</v>
      </c>
      <c r="U30" s="14" t="s">
        <v>99</v>
      </c>
      <c r="V30" s="14" t="s">
        <v>99</v>
      </c>
      <c r="W30" s="14" t="s">
        <v>99</v>
      </c>
    </row>
    <row r="31" ht="76" customHeight="1" spans="1:23" s="7" customFormat="1" x14ac:dyDescent="0.25">
      <c r="A31" s="7">
        <v>30</v>
      </c>
      <c r="B31" s="8" t="s">
        <v>603</v>
      </c>
      <c r="C31" s="7" t="s">
        <v>80</v>
      </c>
      <c r="D31" s="7" t="s">
        <v>604</v>
      </c>
      <c r="E31" s="7" t="s">
        <v>605</v>
      </c>
      <c r="F31" s="7" t="s">
        <v>606</v>
      </c>
      <c r="G31" s="7" t="s">
        <v>607</v>
      </c>
      <c r="H31" s="7" t="s">
        <v>608</v>
      </c>
      <c r="I31" s="7" t="s">
        <v>609</v>
      </c>
      <c r="J31" s="7" t="s">
        <v>610</v>
      </c>
      <c r="K31" s="7" t="s">
        <v>611</v>
      </c>
      <c r="L31" s="7" t="s">
        <v>612</v>
      </c>
      <c r="M31" s="10" t="s">
        <v>90</v>
      </c>
      <c r="N31" s="7" t="s">
        <v>91</v>
      </c>
      <c r="O31" s="7" t="s">
        <v>613</v>
      </c>
      <c r="P31" s="7" t="s">
        <v>614</v>
      </c>
      <c r="Q31" s="7" t="s">
        <v>615</v>
      </c>
      <c r="R31" s="14" t="s">
        <v>325</v>
      </c>
      <c r="S31" s="14" t="s">
        <v>99</v>
      </c>
      <c r="T31" s="14" t="s">
        <v>99</v>
      </c>
      <c r="U31" s="14" t="s">
        <v>99</v>
      </c>
      <c r="V31" s="14" t="s">
        <v>99</v>
      </c>
      <c r="W31" s="14" t="s">
        <v>99</v>
      </c>
    </row>
    <row r="32" ht="76" customHeight="1" spans="1:23" s="7" customFormat="1" x14ac:dyDescent="0.25">
      <c r="A32" s="7">
        <v>31</v>
      </c>
      <c r="B32" s="8" t="s">
        <v>616</v>
      </c>
      <c r="C32" s="7" t="s">
        <v>80</v>
      </c>
      <c r="D32" s="7" t="s">
        <v>617</v>
      </c>
      <c r="E32" s="7" t="s">
        <v>618</v>
      </c>
      <c r="F32" s="7" t="s">
        <v>619</v>
      </c>
      <c r="G32" s="7" t="s">
        <v>620</v>
      </c>
      <c r="H32" s="7" t="s">
        <v>621</v>
      </c>
      <c r="I32" s="7" t="s">
        <v>622</v>
      </c>
      <c r="J32" s="7" t="s">
        <v>623</v>
      </c>
      <c r="K32" s="7" t="s">
        <v>624</v>
      </c>
      <c r="L32" s="7" t="s">
        <v>625</v>
      </c>
      <c r="M32" s="10" t="s">
        <v>90</v>
      </c>
      <c r="N32" s="7" t="s">
        <v>91</v>
      </c>
      <c r="O32" s="7" t="s">
        <v>626</v>
      </c>
      <c r="P32" s="7" t="s">
        <v>627</v>
      </c>
      <c r="Q32" s="7" t="s">
        <v>628</v>
      </c>
      <c r="R32" s="14" t="s">
        <v>325</v>
      </c>
      <c r="S32" s="14" t="s">
        <v>99</v>
      </c>
      <c r="T32" s="14" t="s">
        <v>99</v>
      </c>
      <c r="U32" s="14" t="s">
        <v>99</v>
      </c>
      <c r="V32" s="14" t="s">
        <v>99</v>
      </c>
      <c r="W32" s="14" t="s">
        <v>99</v>
      </c>
    </row>
    <row r="33" ht="76" customHeight="1" spans="1:23" s="7" customFormat="1" x14ac:dyDescent="0.25">
      <c r="A33" s="7">
        <v>32</v>
      </c>
      <c r="B33" s="8" t="s">
        <v>629</v>
      </c>
      <c r="C33" s="7" t="s">
        <v>80</v>
      </c>
      <c r="D33" s="7" t="s">
        <v>630</v>
      </c>
      <c r="E33" s="7" t="s">
        <v>631</v>
      </c>
      <c r="F33" s="7" t="s">
        <v>632</v>
      </c>
      <c r="G33" s="7" t="s">
        <v>633</v>
      </c>
      <c r="H33" s="7" t="s">
        <v>634</v>
      </c>
      <c r="I33" s="7" t="s">
        <v>635</v>
      </c>
      <c r="J33" s="7" t="s">
        <v>636</v>
      </c>
      <c r="K33" s="7" t="s">
        <v>637</v>
      </c>
      <c r="L33" s="7" t="s">
        <v>638</v>
      </c>
      <c r="M33" s="10" t="s">
        <v>90</v>
      </c>
      <c r="N33" s="7" t="s">
        <v>91</v>
      </c>
      <c r="O33" s="7" t="s">
        <v>639</v>
      </c>
      <c r="P33" s="7" t="s">
        <v>640</v>
      </c>
      <c r="Q33" s="7" t="s">
        <v>641</v>
      </c>
      <c r="R33" s="14" t="s">
        <v>325</v>
      </c>
      <c r="S33" s="14" t="s">
        <v>99</v>
      </c>
      <c r="T33" s="14" t="s">
        <v>99</v>
      </c>
      <c r="U33" s="14" t="s">
        <v>99</v>
      </c>
      <c r="V33" s="14" t="s">
        <v>99</v>
      </c>
      <c r="W33" s="14" t="s">
        <v>99</v>
      </c>
    </row>
    <row r="34" ht="76" customHeight="1" spans="1:23" s="7" customFormat="1" x14ac:dyDescent="0.25">
      <c r="A34" s="7">
        <v>33</v>
      </c>
      <c r="B34" s="8" t="s">
        <v>642</v>
      </c>
      <c r="C34" s="7" t="s">
        <v>80</v>
      </c>
      <c r="D34" s="7" t="s">
        <v>643</v>
      </c>
      <c r="E34" s="7" t="s">
        <v>644</v>
      </c>
      <c r="F34" s="7" t="s">
        <v>645</v>
      </c>
      <c r="G34" s="7" t="s">
        <v>646</v>
      </c>
      <c r="H34" s="7" t="s">
        <v>647</v>
      </c>
      <c r="I34" s="7" t="s">
        <v>648</v>
      </c>
      <c r="J34" s="7" t="s">
        <v>649</v>
      </c>
      <c r="K34" s="7" t="s">
        <v>650</v>
      </c>
      <c r="L34" s="7" t="s">
        <v>651</v>
      </c>
      <c r="M34" s="10" t="s">
        <v>90</v>
      </c>
      <c r="N34" s="7" t="s">
        <v>91</v>
      </c>
      <c r="O34" s="7" t="s">
        <v>652</v>
      </c>
      <c r="P34" s="7" t="s">
        <v>653</v>
      </c>
      <c r="Q34" s="7" t="s">
        <v>654</v>
      </c>
      <c r="R34" s="14" t="s">
        <v>325</v>
      </c>
      <c r="S34" s="14" t="s">
        <v>99</v>
      </c>
      <c r="T34" s="14" t="s">
        <v>99</v>
      </c>
      <c r="U34" s="14" t="s">
        <v>99</v>
      </c>
      <c r="V34" s="14" t="s">
        <v>99</v>
      </c>
      <c r="W34" s="14" t="s">
        <v>99</v>
      </c>
    </row>
    <row r="35" ht="76" customHeight="1" spans="1:23" s="7" customFormat="1" x14ac:dyDescent="0.25">
      <c r="A35" s="7">
        <v>34</v>
      </c>
      <c r="B35" s="8" t="s">
        <v>655</v>
      </c>
      <c r="C35" s="7" t="s">
        <v>80</v>
      </c>
      <c r="D35" s="7" t="s">
        <v>656</v>
      </c>
      <c r="E35" s="7" t="s">
        <v>657</v>
      </c>
      <c r="F35" s="7" t="s">
        <v>658</v>
      </c>
      <c r="G35" s="7" t="s">
        <v>659</v>
      </c>
      <c r="H35" s="7" t="s">
        <v>660</v>
      </c>
      <c r="I35" s="7" t="s">
        <v>661</v>
      </c>
      <c r="J35" s="7" t="s">
        <v>662</v>
      </c>
      <c r="K35" s="7" t="s">
        <v>663</v>
      </c>
      <c r="L35" s="7" t="s">
        <v>664</v>
      </c>
      <c r="M35" s="10" t="s">
        <v>90</v>
      </c>
      <c r="N35" s="7" t="s">
        <v>91</v>
      </c>
      <c r="O35" s="7" t="s">
        <v>665</v>
      </c>
      <c r="P35" s="7" t="s">
        <v>666</v>
      </c>
      <c r="Q35" s="7" t="s">
        <v>667</v>
      </c>
      <c r="R35" s="14" t="s">
        <v>325</v>
      </c>
      <c r="S35" s="14" t="s">
        <v>99</v>
      </c>
      <c r="T35" s="14" t="s">
        <v>99</v>
      </c>
      <c r="U35" s="14" t="s">
        <v>99</v>
      </c>
      <c r="V35" s="14" t="s">
        <v>99</v>
      </c>
      <c r="W35" s="14" t="s">
        <v>99</v>
      </c>
    </row>
  </sheetData>
  <dataValidations count="2">
    <dataValidation type="list" sqref="R10:R35">
      <formula1>"Not Run,Pass,Fail,Blocked,Not Applicable"</formula1>
    </dataValidation>
    <dataValidation type="list" sqref="R2:R35">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44"/>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7" t="s">
        <v>668</v>
      </c>
      <c r="B1" s="17"/>
      <c r="C1" s="17"/>
      <c r="D1" s="17"/>
    </row>
    <row r="2" spans="1:4" x14ac:dyDescent="0.25">
      <c r="A2" s="18" t="s">
        <v>669</v>
      </c>
      <c r="B2" s="18"/>
      <c r="C2" s="18"/>
      <c r="D2" s="18"/>
    </row>
    <row r="3" spans="1:4" x14ac:dyDescent="0.25"/>
    <row r="4" ht="30" customHeight="1" spans="1:4" s="19" customFormat="1" x14ac:dyDescent="0.25">
      <c r="A4" s="19" t="s">
        <v>670</v>
      </c>
      <c r="B4" s="19" t="s">
        <v>671</v>
      </c>
      <c r="C4" s="19" t="s">
        <v>672</v>
      </c>
      <c r="D4" s="19" t="s">
        <v>673</v>
      </c>
    </row>
    <row r="5" ht="27" customHeight="1" spans="1:4" s="20" customFormat="1" x14ac:dyDescent="0.25">
      <c r="A5" s="21" t="s">
        <v>674</v>
      </c>
      <c r="B5" s="22" t="s">
        <v>675</v>
      </c>
      <c r="C5" s="23">
        <f>ROWS(ConnectorsAutomatedCases[Test Case ID])</f>
        <v>24</v>
      </c>
      <c r="D5" s="22" t="s">
        <v>676</v>
      </c>
    </row>
    <row r="6" ht="27" customHeight="1" spans="1:4" s="20" customFormat="1" x14ac:dyDescent="0.25">
      <c r="A6" s="21" t="s">
        <v>674</v>
      </c>
      <c r="B6" s="22" t="s">
        <v>677</v>
      </c>
      <c r="C6" s="23">
        <f>ROWS(ConnectorsManualUiUxCases[Test Case ID])</f>
        <v>34</v>
      </c>
      <c r="D6" s="22" t="s">
        <v>678</v>
      </c>
    </row>
    <row r="7" ht="27" customHeight="1" spans="1:4" s="20" customFormat="1" x14ac:dyDescent="0.25">
      <c r="A7" s="21" t="s">
        <v>674</v>
      </c>
      <c r="B7" s="22" t="s">
        <v>679</v>
      </c>
      <c r="C7" s="23">
        <f>ROWS(ConnectorsAutomatedCases[Test Case ID])+ROWS(ConnectorsManualUiUxCases[Test Case ID])</f>
        <v>58</v>
      </c>
      <c r="D7" s="22" t="s">
        <v>680</v>
      </c>
    </row>
    <row r="8" ht="27" customHeight="1" spans="1:4" s="20" customFormat="1" x14ac:dyDescent="0.25">
      <c r="A8" s="21" t="s">
        <v>681</v>
      </c>
      <c r="B8" s="22" t="s">
        <v>682</v>
      </c>
      <c r="C8" s="23">
        <f>COUNTIF(ConnectorsAutomatedCases[Write Operation],"YES")</f>
        <v>2</v>
      </c>
      <c r="D8" s="22" t="s">
        <v>683</v>
      </c>
    </row>
    <row r="9" ht="27" customHeight="1" spans="1:4" s="20" customFormat="1" x14ac:dyDescent="0.25">
      <c r="A9" s="21" t="s">
        <v>20</v>
      </c>
      <c r="B9" s="22" t="s">
        <v>325</v>
      </c>
      <c r="C9" s="23">
        <f>COUNTIF(ConnectorsManualUiUxCases[Status],"Not Run")</f>
        <v>34</v>
      </c>
      <c r="D9" s="22" t="s">
        <v>684</v>
      </c>
    </row>
    <row r="10" ht="27" customHeight="1" spans="1:4" s="20" customFormat="1" x14ac:dyDescent="0.25">
      <c r="A10" s="21" t="s">
        <v>20</v>
      </c>
      <c r="B10" s="22" t="s">
        <v>685</v>
      </c>
      <c r="C10" s="23">
        <f>COUNTIF(ConnectorsManualUiUxCases[Status],"Pass")</f>
        <v>0</v>
      </c>
      <c r="D10" s="22" t="s">
        <v>686</v>
      </c>
    </row>
    <row r="11" ht="27" customHeight="1" spans="1:4" s="20" customFormat="1" x14ac:dyDescent="0.25">
      <c r="A11" s="21" t="s">
        <v>20</v>
      </c>
      <c r="B11" s="22" t="s">
        <v>687</v>
      </c>
      <c r="C11" s="23">
        <f>COUNTIF(ConnectorsManualUiUxCases[Status],"Fail")</f>
        <v>0</v>
      </c>
      <c r="D11" s="22" t="s">
        <v>688</v>
      </c>
    </row>
    <row r="12" ht="27" customHeight="1" spans="1:4" s="20" customFormat="1" x14ac:dyDescent="0.25">
      <c r="A12" s="21" t="s">
        <v>71</v>
      </c>
      <c r="B12" s="22" t="s">
        <v>447</v>
      </c>
      <c r="C12" s="23">
        <f>COUNTIF(ConnectorsAutomatedCases[Priority],"P0")+COUNTIF(ConnectorsManualUiUxCases[Priority],"P0")</f>
        <v>9</v>
      </c>
      <c r="D12" s="22" t="s">
        <v>689</v>
      </c>
    </row>
    <row r="13" ht="27" customHeight="1" spans="1:4" s="20" customFormat="1" x14ac:dyDescent="0.25">
      <c r="A13" s="21" t="s">
        <v>71</v>
      </c>
      <c r="B13" s="22" t="s">
        <v>90</v>
      </c>
      <c r="C13" s="23">
        <f>COUNTIF(ConnectorsAutomatedCases[Priority],"P1")+COUNTIF(ConnectorsManualUiUxCases[Priority],"P1")</f>
        <v>47</v>
      </c>
      <c r="D13" s="22" t="s">
        <v>690</v>
      </c>
    </row>
    <row r="14" ht="27" customHeight="1" spans="1:4" s="20" customFormat="1" x14ac:dyDescent="0.25">
      <c r="A14" s="21" t="s">
        <v>71</v>
      </c>
      <c r="B14" s="22" t="s">
        <v>369</v>
      </c>
      <c r="C14" s="23">
        <f>COUNTIF(ConnectorsAutomatedCases[Priority],"P2")+COUNTIF(ConnectorsManualUiUxCases[Priority],"P2")</f>
        <v>2</v>
      </c>
      <c r="D14" s="22" t="s">
        <v>691</v>
      </c>
    </row>
    <row r="15" ht="27" customHeight="1" spans="1:4" s="20" customFormat="1" x14ac:dyDescent="0.25">
      <c r="A15" s="21" t="s">
        <v>72</v>
      </c>
      <c r="B15" s="22" t="s">
        <v>146</v>
      </c>
      <c r="C15" s="23">
        <f>COUNTIF(ConnectorsAutomatedCases[Severity],"Critical")+COUNTIF(ConnectorsManualUiUxCases[Severity],"Critical")</f>
        <v>15</v>
      </c>
      <c r="D15" s="22" t="s">
        <v>692</v>
      </c>
    </row>
    <row r="16" ht="27" customHeight="1" spans="1:4" s="20" customFormat="1" x14ac:dyDescent="0.25">
      <c r="A16" s="21" t="s">
        <v>72</v>
      </c>
      <c r="B16" s="22" t="s">
        <v>91</v>
      </c>
      <c r="C16" s="23">
        <f>COUNTIF(ConnectorsAutomatedCases[Severity],"Major")+COUNTIF(ConnectorsManualUiUxCases[Severity],"Major")</f>
        <v>43</v>
      </c>
      <c r="D16" s="22" t="s">
        <v>693</v>
      </c>
    </row>
    <row r="17" ht="27" customHeight="1" spans="1:4" s="20" customFormat="1" x14ac:dyDescent="0.25">
      <c r="A17" s="21" t="s">
        <v>694</v>
      </c>
      <c r="B17" s="22" t="s">
        <v>88</v>
      </c>
      <c r="C17" s="23">
        <f>COUNTIF(ConnectorsAutomatedCases[Execution Tags],"*@functional*")+COUNTIF(ConnectorsManualUiUxCases[Execution Tags],"*@functional*")</f>
        <v>24</v>
      </c>
      <c r="D17" s="22" t="s">
        <v>695</v>
      </c>
    </row>
    <row r="18" ht="27" customHeight="1" spans="1:4" s="20" customFormat="1" x14ac:dyDescent="0.25">
      <c r="A18" s="21" t="s">
        <v>694</v>
      </c>
      <c r="B18" s="22" t="s">
        <v>696</v>
      </c>
      <c r="C18" s="23">
        <f>COUNTIF(ConnectorsAutomatedCases[Execution Tags],"*@non-functional*")+COUNTIF(ConnectorsManualUiUxCases[Execution Tags],"*@non-functional*")</f>
        <v>41</v>
      </c>
      <c r="D18" s="22" t="s">
        <v>697</v>
      </c>
    </row>
    <row r="19" ht="27" customHeight="1" spans="1:4" s="20" customFormat="1" x14ac:dyDescent="0.25">
      <c r="A19" s="21" t="s">
        <v>694</v>
      </c>
      <c r="B19" s="22" t="s">
        <v>698</v>
      </c>
      <c r="C19" s="23">
        <f>COUNTIF(ConnectorsAutomatedCases[Execution Tags],"*@smoke*")+COUNTIF(ConnectorsManualUiUxCases[Execution Tags],"*@smoke*")</f>
        <v>1</v>
      </c>
      <c r="D19" s="22" t="s">
        <v>699</v>
      </c>
    </row>
    <row r="20" ht="27" customHeight="1" spans="1:4" s="20" customFormat="1" x14ac:dyDescent="0.25">
      <c r="A20" s="21" t="s">
        <v>694</v>
      </c>
      <c r="B20" s="22" t="s">
        <v>700</v>
      </c>
      <c r="C20" s="23">
        <f>COUNTIF(ConnectorsAutomatedCases[Execution Tags],"*@prod-smoke*")+COUNTIF(ConnectorsManualUiUxCases[Execution Tags],"*@prod-smoke*")</f>
        <v>1</v>
      </c>
      <c r="D20" s="22" t="s">
        <v>701</v>
      </c>
    </row>
    <row r="21" ht="27" customHeight="1" spans="1:4" s="20" customFormat="1" x14ac:dyDescent="0.25">
      <c r="A21" s="21" t="s">
        <v>694</v>
      </c>
      <c r="B21" s="22" t="s">
        <v>702</v>
      </c>
      <c r="C21" s="23">
        <f>COUNTIF(ConnectorsAutomatedCases[Execution Tags],"*@sanity*")+COUNTIF(ConnectorsManualUiUxCases[Execution Tags],"*@sanity*")</f>
        <v>4</v>
      </c>
      <c r="D21" s="22" t="s">
        <v>703</v>
      </c>
    </row>
    <row r="22" ht="27" customHeight="1" spans="1:4" s="20" customFormat="1" x14ac:dyDescent="0.25">
      <c r="A22" s="21" t="s">
        <v>694</v>
      </c>
      <c r="B22" s="22" t="s">
        <v>704</v>
      </c>
      <c r="C22" s="23">
        <f>COUNTIF(ConnectorsAutomatedCases[Execution Tags],"*@regression*")+COUNTIF(ConnectorsManualUiUxCases[Execution Tags],"*@regression*")</f>
        <v>58</v>
      </c>
      <c r="D22" s="22" t="s">
        <v>705</v>
      </c>
    </row>
    <row r="23" ht="27" customHeight="1" spans="1:4" s="20" customFormat="1" x14ac:dyDescent="0.25">
      <c r="A23" s="21" t="s">
        <v>694</v>
      </c>
      <c r="B23" s="22" t="s">
        <v>706</v>
      </c>
      <c r="C23" s="23">
        <f>COUNTIF(ConnectorsAutomatedCases[Execution Tags],"*@e2e*")+COUNTIF(ConnectorsManualUiUxCases[Execution Tags],"*@e2e*")</f>
        <v>8</v>
      </c>
      <c r="D23" s="22" t="s">
        <v>707</v>
      </c>
    </row>
    <row r="24" ht="27" customHeight="1" spans="1:4" s="20" customFormat="1" x14ac:dyDescent="0.25">
      <c r="A24" s="21" t="s">
        <v>694</v>
      </c>
      <c r="B24" s="22" t="s">
        <v>708</v>
      </c>
      <c r="C24" s="23">
        <f>COUNTIF(ConnectorsAutomatedCases[Execution Tags],"*@integration*")+COUNTIF(ConnectorsManualUiUxCases[Execution Tags],"*@integration*")</f>
        <v>6</v>
      </c>
      <c r="D24" s="22" t="s">
        <v>709</v>
      </c>
    </row>
    <row r="25" ht="27" customHeight="1" spans="1:4" s="20" customFormat="1" x14ac:dyDescent="0.25">
      <c r="A25" s="21" t="s">
        <v>694</v>
      </c>
      <c r="B25" s="22" t="s">
        <v>250</v>
      </c>
      <c r="C25" s="23">
        <f>COUNTIF(ConnectorsAutomatedCases[Execution Tags],"*@security*")+COUNTIF(ConnectorsManualUiUxCases[Execution Tags],"*@security*")</f>
        <v>7</v>
      </c>
      <c r="D25" s="22" t="s">
        <v>710</v>
      </c>
    </row>
    <row r="26" ht="27" customHeight="1" spans="1:4" s="20" customFormat="1" x14ac:dyDescent="0.25">
      <c r="A26" s="21" t="s">
        <v>694</v>
      </c>
      <c r="B26" s="22" t="s">
        <v>356</v>
      </c>
      <c r="C26" s="23">
        <f>COUNTIF(ConnectorsAutomatedCases[Execution Tags],"*@a11y*")+COUNTIF(ConnectorsManualUiUxCases[Execution Tags],"*@a11y*")</f>
        <v>21</v>
      </c>
      <c r="D26" s="22" t="s">
        <v>711</v>
      </c>
    </row>
    <row r="27" ht="27" customHeight="1" spans="1:4" s="20" customFormat="1" x14ac:dyDescent="0.25">
      <c r="A27" s="21" t="s">
        <v>694</v>
      </c>
      <c r="B27" s="22" t="s">
        <v>367</v>
      </c>
      <c r="C27" s="23">
        <f>COUNTIF(ConnectorsAutomatedCases[Execution Tags],"*@responsive*")+COUNTIF(ConnectorsManualUiUxCases[Execution Tags],"*@responsive*")</f>
        <v>9</v>
      </c>
      <c r="D27" s="22" t="s">
        <v>712</v>
      </c>
    </row>
    <row r="28" ht="27" customHeight="1" spans="1:4" s="20" customFormat="1" x14ac:dyDescent="0.25">
      <c r="A28" s="21" t="s">
        <v>694</v>
      </c>
      <c r="B28" s="22" t="s">
        <v>611</v>
      </c>
      <c r="C28" s="23">
        <f>COUNTIF(ConnectorsAutomatedCases[Execution Tags],"*@compatibility*")+COUNTIF(ConnectorsManualUiUxCases[Execution Tags],"*@compatibility*")</f>
        <v>1</v>
      </c>
      <c r="D28" s="22" t="s">
        <v>713</v>
      </c>
    </row>
    <row r="29" ht="27" customHeight="1" spans="1:4" s="20" customFormat="1" x14ac:dyDescent="0.25">
      <c r="A29" s="21" t="s">
        <v>694</v>
      </c>
      <c r="B29" s="22" t="s">
        <v>714</v>
      </c>
      <c r="C29" s="23">
        <f>COUNTIF(ConnectorsAutomatedCases[Execution Tags],"*@visual-regression*")+COUNTIF(ConnectorsManualUiUxCases[Execution Tags],"*@visual-regression*")</f>
        <v>1</v>
      </c>
      <c r="D29" s="22" t="s">
        <v>715</v>
      </c>
    </row>
    <row r="30" ht="27" customHeight="1" spans="1:4" s="20" customFormat="1" x14ac:dyDescent="0.25">
      <c r="A30" s="21" t="s">
        <v>694</v>
      </c>
      <c r="B30" s="22" t="s">
        <v>624</v>
      </c>
      <c r="C30" s="23">
        <f>COUNTIF(ConnectorsAutomatedCases[Execution Tags],"*@performance*")+COUNTIF(ConnectorsManualUiUxCases[Execution Tags],"*@performance*")</f>
        <v>1</v>
      </c>
      <c r="D30" s="22" t="s">
        <v>716</v>
      </c>
    </row>
    <row r="31" ht="27" customHeight="1" spans="1:4" s="20" customFormat="1" x14ac:dyDescent="0.25">
      <c r="A31" s="21" t="s">
        <v>694</v>
      </c>
      <c r="B31" s="22" t="s">
        <v>650</v>
      </c>
      <c r="C31" s="23">
        <f>COUNTIF(ConnectorsAutomatedCases[Execution Tags],"*@localization*")+COUNTIF(ConnectorsManualUiUxCases[Execution Tags],"*@localization*")</f>
        <v>1</v>
      </c>
      <c r="D31" s="22" t="s">
        <v>717</v>
      </c>
    </row>
    <row r="32" ht="27" customHeight="1" spans="1:4" s="20" customFormat="1" x14ac:dyDescent="0.25">
      <c r="A32" s="21" t="s">
        <v>694</v>
      </c>
      <c r="B32" s="22" t="s">
        <v>718</v>
      </c>
      <c r="C32" s="23">
        <f>COUNTIF(ConnectorsAutomatedCases[Execution Tags],"*@exploratory*")+COUNTIF(ConnectorsManualUiUxCases[Execution Tags],"*@exploratory*")</f>
        <v>1</v>
      </c>
      <c r="D32" s="22" t="s">
        <v>719</v>
      </c>
    </row>
    <row r="33" ht="27" customHeight="1" spans="1:4" s="20" customFormat="1" x14ac:dyDescent="0.25">
      <c r="A33" s="21" t="s">
        <v>694</v>
      </c>
      <c r="B33" s="22" t="s">
        <v>720</v>
      </c>
      <c r="C33" s="23">
        <f>COUNTIF(ConnectorsAutomatedCases[Execution Tags],"*@uat*")+COUNTIF(ConnectorsManualUiUxCases[Execution Tags],"*@uat*")</f>
        <v>5</v>
      </c>
      <c r="D33" s="22" t="s">
        <v>721</v>
      </c>
    </row>
    <row r="34" ht="27" customHeight="1" spans="1:4" s="20" customFormat="1" x14ac:dyDescent="0.25">
      <c r="A34" s="21" t="s">
        <v>694</v>
      </c>
      <c r="B34" s="22" t="s">
        <v>38</v>
      </c>
      <c r="C34" s="23">
        <f>COUNTIF(ConnectorsAutomatedCases[Execution Tags],"*@retest*")+COUNTIF(ConnectorsManualUiUxCases[Execution Tags],"*@retest*")</f>
        <v>0</v>
      </c>
      <c r="D34" s="22" t="s">
        <v>722</v>
      </c>
    </row>
    <row r="35" ht="27" customHeight="1" spans="1:4" s="20" customFormat="1" x14ac:dyDescent="0.25">
      <c r="A35" s="21" t="s">
        <v>723</v>
      </c>
      <c r="B35" s="22" t="s">
        <v>356</v>
      </c>
      <c r="C35" s="23">
        <f>COUNTIF(ConnectorsManualUiUxCases[UX Category],"Accessibility")</f>
        <v>10</v>
      </c>
      <c r="D35" s="22" t="s">
        <v>724</v>
      </c>
    </row>
    <row r="36" ht="27" customHeight="1" spans="1:4" s="20" customFormat="1" x14ac:dyDescent="0.25">
      <c r="A36" s="21" t="s">
        <v>723</v>
      </c>
      <c r="B36" s="22" t="s">
        <v>611</v>
      </c>
      <c r="C36" s="23">
        <f>COUNTIF(ConnectorsManualUiUxCases[UX Category],"Compatibility")</f>
        <v>1</v>
      </c>
      <c r="D36" s="22" t="s">
        <v>725</v>
      </c>
    </row>
    <row r="37" ht="27" customHeight="1" spans="1:4" s="20" customFormat="1" x14ac:dyDescent="0.25">
      <c r="A37" s="21" t="s">
        <v>723</v>
      </c>
      <c r="B37" s="22" t="s">
        <v>399</v>
      </c>
      <c r="C37" s="23">
        <f>COUNTIF(ConnectorsManualUiUxCases[UX Category],"Error state")</f>
        <v>5</v>
      </c>
      <c r="D37" s="22" t="s">
        <v>726</v>
      </c>
    </row>
    <row r="38" ht="27" customHeight="1" spans="1:4" s="20" customFormat="1" x14ac:dyDescent="0.25">
      <c r="A38" s="21" t="s">
        <v>723</v>
      </c>
      <c r="B38" s="22" t="s">
        <v>663</v>
      </c>
      <c r="C38" s="23">
        <f>COUNTIF(ConnectorsManualUiUxCases[UX Category],"Exploratory UAT")</f>
        <v>1</v>
      </c>
      <c r="D38" s="22" t="s">
        <v>727</v>
      </c>
    </row>
    <row r="39" ht="27" customHeight="1" spans="1:4" s="20" customFormat="1" x14ac:dyDescent="0.25">
      <c r="A39" s="21" t="s">
        <v>723</v>
      </c>
      <c r="B39" s="22" t="s">
        <v>650</v>
      </c>
      <c r="C39" s="23">
        <f>COUNTIF(ConnectorsManualUiUxCases[UX Category],"Localization")</f>
        <v>1</v>
      </c>
      <c r="D39" s="22" t="s">
        <v>728</v>
      </c>
    </row>
    <row r="40" ht="27" customHeight="1" spans="1:4" s="20" customFormat="1" x14ac:dyDescent="0.25">
      <c r="A40" s="21" t="s">
        <v>723</v>
      </c>
      <c r="B40" s="22" t="s">
        <v>624</v>
      </c>
      <c r="C40" s="23">
        <f>COUNTIF(ConnectorsManualUiUxCases[UX Category],"Performance")</f>
        <v>1</v>
      </c>
      <c r="D40" s="22" t="s">
        <v>729</v>
      </c>
    </row>
    <row r="41" ht="27" customHeight="1" spans="1:4" s="20" customFormat="1" x14ac:dyDescent="0.25">
      <c r="A41" s="21" t="s">
        <v>723</v>
      </c>
      <c r="B41" s="22" t="s">
        <v>367</v>
      </c>
      <c r="C41" s="23">
        <f>COUNTIF(ConnectorsManualUiUxCases[UX Category],"Responsive")</f>
        <v>5</v>
      </c>
      <c r="D41" s="22" t="s">
        <v>730</v>
      </c>
    </row>
    <row r="42" ht="27" customHeight="1" spans="1:4" s="20" customFormat="1" x14ac:dyDescent="0.25">
      <c r="A42" s="21" t="s">
        <v>723</v>
      </c>
      <c r="B42" s="22" t="s">
        <v>320</v>
      </c>
      <c r="C42" s="23">
        <f>COUNTIF(ConnectorsManualUiUxCases[UX Category],"UI")</f>
        <v>1</v>
      </c>
      <c r="D42" s="22" t="s">
        <v>731</v>
      </c>
    </row>
    <row r="43" ht="27" customHeight="1" spans="1:4" s="20" customFormat="1" x14ac:dyDescent="0.25">
      <c r="A43" s="21" t="s">
        <v>723</v>
      </c>
      <c r="B43" s="22" t="s">
        <v>334</v>
      </c>
      <c r="C43" s="23">
        <f>COUNTIF(ConnectorsManualUiUxCases[UX Category],"UX")</f>
        <v>8</v>
      </c>
      <c r="D43" s="22" t="s">
        <v>732</v>
      </c>
    </row>
    <row r="44" ht="27" customHeight="1" spans="1:4" s="20" customFormat="1" x14ac:dyDescent="0.25">
      <c r="A44" s="21" t="s">
        <v>723</v>
      </c>
      <c r="B44" s="22" t="s">
        <v>637</v>
      </c>
      <c r="C44" s="23">
        <f>COUNTIF(ConnectorsManualUiUxCases[UX Category],"Visual regression")</f>
        <v>1</v>
      </c>
      <c r="D44" s="22" t="s">
        <v>733</v>
      </c>
    </row>
  </sheetData>
  <autoFilter ref="A4:D44"/>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3" customFormat="1" x14ac:dyDescent="0.25">
      <c r="A1" s="3" t="s">
        <v>734</v>
      </c>
      <c r="B1" s="3" t="s">
        <v>735</v>
      </c>
      <c r="C1" s="3" t="s">
        <v>736</v>
      </c>
      <c r="D1" s="3" t="s">
        <v>737</v>
      </c>
      <c r="E1" s="3" t="s">
        <v>738</v>
      </c>
      <c r="F1" s="3" t="s">
        <v>739</v>
      </c>
    </row>
    <row r="2" ht="42" customHeight="1" spans="1:6" s="4" customFormat="1" x14ac:dyDescent="0.25">
      <c r="A2" s="8" t="s">
        <v>60</v>
      </c>
      <c r="B2" s="4" t="s">
        <v>29</v>
      </c>
      <c r="C2" s="4" t="s">
        <v>740</v>
      </c>
      <c r="D2" s="4" t="s">
        <v>741</v>
      </c>
      <c r="E2" s="4" t="s">
        <v>742</v>
      </c>
      <c r="F2" s="4" t="s">
        <v>743</v>
      </c>
    </row>
    <row r="3" ht="42" customHeight="1" spans="1:6" s="4" customFormat="1" x14ac:dyDescent="0.25">
      <c r="A3" s="8" t="s">
        <v>62</v>
      </c>
      <c r="B3" s="4" t="s">
        <v>29</v>
      </c>
      <c r="C3" s="4" t="s">
        <v>740</v>
      </c>
      <c r="D3" s="4" t="s">
        <v>741</v>
      </c>
      <c r="E3" s="4" t="s">
        <v>744</v>
      </c>
      <c r="F3" s="4" t="s">
        <v>745</v>
      </c>
    </row>
    <row r="4" ht="42" customHeight="1" spans="1:6" s="4" customFormat="1" x14ac:dyDescent="0.25">
      <c r="A4" s="8" t="s">
        <v>64</v>
      </c>
      <c r="B4" s="4" t="s">
        <v>29</v>
      </c>
      <c r="C4" s="4" t="s">
        <v>740</v>
      </c>
      <c r="D4" s="4" t="s">
        <v>741</v>
      </c>
      <c r="E4" s="4" t="s">
        <v>746</v>
      </c>
      <c r="F4" s="4" t="s">
        <v>747</v>
      </c>
    </row>
    <row r="5" ht="42" customHeight="1" spans="1:6" s="4" customFormat="1" x14ac:dyDescent="0.25">
      <c r="A5" s="8" t="s">
        <v>65</v>
      </c>
      <c r="B5" s="4" t="s">
        <v>29</v>
      </c>
      <c r="C5" s="4" t="s">
        <v>740</v>
      </c>
      <c r="D5" s="4" t="s">
        <v>741</v>
      </c>
      <c r="E5" s="4" t="s">
        <v>748</v>
      </c>
      <c r="F5" s="4" t="s">
        <v>749</v>
      </c>
    </row>
    <row r="6" ht="42" customHeight="1" spans="1:6" s="4" customFormat="1" x14ac:dyDescent="0.25">
      <c r="A6" s="8" t="s">
        <v>66</v>
      </c>
      <c r="B6" s="4" t="s">
        <v>29</v>
      </c>
      <c r="C6" s="4" t="s">
        <v>740</v>
      </c>
      <c r="D6" s="4" t="s">
        <v>741</v>
      </c>
      <c r="E6" s="4" t="s">
        <v>750</v>
      </c>
      <c r="F6" s="4" t="s">
        <v>751</v>
      </c>
    </row>
    <row r="7" ht="42" customHeight="1" spans="1:6" s="4" customFormat="1" x14ac:dyDescent="0.25">
      <c r="A7" s="8" t="s">
        <v>67</v>
      </c>
      <c r="B7" s="4" t="s">
        <v>14</v>
      </c>
      <c r="C7" s="4" t="s">
        <v>740</v>
      </c>
      <c r="D7" s="4" t="s">
        <v>741</v>
      </c>
      <c r="E7" s="4" t="s">
        <v>752</v>
      </c>
      <c r="F7" s="4" t="s">
        <v>753</v>
      </c>
    </row>
    <row r="8" ht="42" customHeight="1" spans="1:6" s="4" customFormat="1" x14ac:dyDescent="0.25">
      <c r="A8" s="8" t="s">
        <v>302</v>
      </c>
      <c r="B8" s="4" t="s">
        <v>754</v>
      </c>
      <c r="C8" s="4" t="s">
        <v>740</v>
      </c>
      <c r="D8" s="4" t="s">
        <v>741</v>
      </c>
      <c r="E8" s="4" t="s">
        <v>755</v>
      </c>
      <c r="F8" s="4" t="s">
        <v>756</v>
      </c>
    </row>
    <row r="9" ht="42" customHeight="1" spans="1:6" s="4" customFormat="1" x14ac:dyDescent="0.25">
      <c r="A9" s="8" t="s">
        <v>68</v>
      </c>
      <c r="B9" s="4" t="s">
        <v>29</v>
      </c>
      <c r="C9" s="4" t="s">
        <v>740</v>
      </c>
      <c r="D9" s="4" t="s">
        <v>741</v>
      </c>
      <c r="E9" s="4" t="s">
        <v>757</v>
      </c>
      <c r="F9" s="4" t="s">
        <v>758</v>
      </c>
    </row>
    <row r="10" ht="42" customHeight="1" spans="1:6" s="4" customFormat="1" x14ac:dyDescent="0.25">
      <c r="A10" s="8" t="s">
        <v>759</v>
      </c>
      <c r="B10" s="4" t="s">
        <v>29</v>
      </c>
      <c r="C10" s="4" t="s">
        <v>740</v>
      </c>
      <c r="D10" s="4" t="s">
        <v>741</v>
      </c>
      <c r="E10" s="4" t="s">
        <v>760</v>
      </c>
      <c r="F10" s="4" t="s">
        <v>356</v>
      </c>
    </row>
    <row r="11" ht="42" customHeight="1" spans="1:6" s="4" customFormat="1" x14ac:dyDescent="0.25">
      <c r="A11" s="8" t="s">
        <v>304</v>
      </c>
      <c r="B11" s="4" t="s">
        <v>754</v>
      </c>
      <c r="C11" s="4" t="s">
        <v>740</v>
      </c>
      <c r="D11" s="4" t="s">
        <v>741</v>
      </c>
      <c r="E11" s="4" t="s">
        <v>761</v>
      </c>
      <c r="F11" s="4" t="s">
        <v>762</v>
      </c>
    </row>
    <row r="12" ht="42" customHeight="1" spans="1:6" s="4" customFormat="1" x14ac:dyDescent="0.25">
      <c r="A12" s="8" t="s">
        <v>71</v>
      </c>
      <c r="B12" s="4" t="s">
        <v>29</v>
      </c>
      <c r="C12" s="4" t="s">
        <v>740</v>
      </c>
      <c r="D12" s="4" t="s">
        <v>741</v>
      </c>
      <c r="E12" s="4" t="s">
        <v>763</v>
      </c>
      <c r="F12" s="4" t="s">
        <v>90</v>
      </c>
    </row>
    <row r="13" ht="42" customHeight="1" spans="1:6" s="4" customFormat="1" x14ac:dyDescent="0.25">
      <c r="A13" s="8" t="s">
        <v>72</v>
      </c>
      <c r="B13" s="4" t="s">
        <v>29</v>
      </c>
      <c r="C13" s="4" t="s">
        <v>740</v>
      </c>
      <c r="D13" s="4" t="s">
        <v>741</v>
      </c>
      <c r="E13" s="4" t="s">
        <v>764</v>
      </c>
      <c r="F13" s="4" t="s">
        <v>91</v>
      </c>
    </row>
    <row r="14" ht="42" customHeight="1" spans="1:6" s="4" customFormat="1" x14ac:dyDescent="0.25">
      <c r="A14" s="8" t="s">
        <v>73</v>
      </c>
      <c r="B14" s="4" t="s">
        <v>14</v>
      </c>
      <c r="C14" s="4" t="s">
        <v>740</v>
      </c>
      <c r="D14" s="4" t="s">
        <v>741</v>
      </c>
      <c r="E14" s="4" t="s">
        <v>765</v>
      </c>
      <c r="F14" s="4" t="s">
        <v>92</v>
      </c>
    </row>
    <row r="15" ht="42" customHeight="1" spans="1:6" s="4" customFormat="1" x14ac:dyDescent="0.25">
      <c r="A15" s="8" t="s">
        <v>74</v>
      </c>
      <c r="B15" s="4" t="s">
        <v>14</v>
      </c>
      <c r="C15" s="4" t="s">
        <v>740</v>
      </c>
      <c r="D15" s="4" t="s">
        <v>741</v>
      </c>
      <c r="E15" s="4" t="s">
        <v>766</v>
      </c>
      <c r="F15" s="4" t="s">
        <v>190</v>
      </c>
    </row>
    <row r="16" ht="42" customHeight="1" spans="1:6" s="4" customFormat="1" x14ac:dyDescent="0.25">
      <c r="A16" s="8" t="s">
        <v>27</v>
      </c>
      <c r="B16" s="4" t="s">
        <v>29</v>
      </c>
      <c r="C16" s="4" t="s">
        <v>740</v>
      </c>
      <c r="D16" s="4" t="s">
        <v>741</v>
      </c>
      <c r="E16" s="4" t="s">
        <v>767</v>
      </c>
      <c r="F16" s="4" t="s">
        <v>768</v>
      </c>
    </row>
    <row r="17" ht="42" customHeight="1" spans="1:6" s="4" customFormat="1" x14ac:dyDescent="0.25">
      <c r="A17" s="8" t="s">
        <v>30</v>
      </c>
      <c r="B17" s="4" t="s">
        <v>29</v>
      </c>
      <c r="C17" s="4" t="s">
        <v>740</v>
      </c>
      <c r="D17" s="4" t="s">
        <v>741</v>
      </c>
      <c r="E17" s="4" t="s">
        <v>769</v>
      </c>
      <c r="F17" s="4" t="s">
        <v>770</v>
      </c>
    </row>
    <row r="18" ht="42" customHeight="1" spans="1:6" s="4" customFormat="1" x14ac:dyDescent="0.25">
      <c r="A18" s="8" t="s">
        <v>76</v>
      </c>
      <c r="B18" s="4" t="s">
        <v>14</v>
      </c>
      <c r="C18" s="4" t="s">
        <v>740</v>
      </c>
      <c r="D18" s="4" t="s">
        <v>741</v>
      </c>
      <c r="E18" s="4" t="s">
        <v>771</v>
      </c>
      <c r="F18" s="4" t="s">
        <v>772</v>
      </c>
    </row>
    <row r="19" ht="42" customHeight="1" spans="1:6" s="4" customFormat="1" x14ac:dyDescent="0.25">
      <c r="A19" s="8" t="s">
        <v>306</v>
      </c>
      <c r="B19" s="4" t="s">
        <v>754</v>
      </c>
      <c r="C19" s="4" t="s">
        <v>741</v>
      </c>
      <c r="D19" s="4" t="s">
        <v>741</v>
      </c>
      <c r="E19" s="4" t="s">
        <v>773</v>
      </c>
      <c r="F19" s="4" t="s">
        <v>774</v>
      </c>
    </row>
    <row r="20" ht="42" customHeight="1" spans="1:6" s="4" customFormat="1" x14ac:dyDescent="0.25">
      <c r="A20" s="8" t="s">
        <v>307</v>
      </c>
      <c r="B20" s="4" t="s">
        <v>754</v>
      </c>
      <c r="C20" s="4" t="s">
        <v>741</v>
      </c>
      <c r="D20" s="4" t="s">
        <v>775</v>
      </c>
      <c r="E20" s="4" t="s">
        <v>776</v>
      </c>
      <c r="F20" s="4" t="s">
        <v>777</v>
      </c>
    </row>
    <row r="21" ht="42" customHeight="1" spans="1:6" s="4" customFormat="1" x14ac:dyDescent="0.25">
      <c r="A21" s="8" t="s">
        <v>778</v>
      </c>
      <c r="B21" s="4" t="s">
        <v>754</v>
      </c>
      <c r="C21" s="4" t="s">
        <v>741</v>
      </c>
      <c r="D21" s="4" t="s">
        <v>775</v>
      </c>
      <c r="E21" s="4" t="s">
        <v>779</v>
      </c>
      <c r="F21" s="4" t="s">
        <v>780</v>
      </c>
    </row>
    <row r="22" ht="42" customHeight="1" spans="1:6" s="4" customFormat="1" x14ac:dyDescent="0.25">
      <c r="A22" s="8" t="s">
        <v>310</v>
      </c>
      <c r="B22" s="4" t="s">
        <v>754</v>
      </c>
      <c r="C22" s="4" t="s">
        <v>741</v>
      </c>
      <c r="D22" s="4" t="s">
        <v>781</v>
      </c>
      <c r="E22" s="4" t="s">
        <v>782</v>
      </c>
      <c r="F22" s="4" t="s">
        <v>783</v>
      </c>
    </row>
    <row r="23" ht="42" customHeight="1" spans="1:6" s="4" customFormat="1" x14ac:dyDescent="0.25">
      <c r="A23" s="8" t="s">
        <v>311</v>
      </c>
      <c r="B23" s="4" t="s">
        <v>754</v>
      </c>
      <c r="C23" s="4" t="s">
        <v>741</v>
      </c>
      <c r="D23" s="4" t="s">
        <v>740</v>
      </c>
      <c r="E23" s="4" t="s">
        <v>784</v>
      </c>
      <c r="F23" s="4" t="s">
        <v>785</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Connectors UI/UX Test Cases</dc:title>
  <dc:subject>Human-readable automated and manual UI/UX coverage for June Connectors</dc:subject>
  <dc:description>{"schemaVersion":1,"module":"Connectors","generatedAt":"2026-09-23T12:59:47.352Z","automatedCount":24,"manualCount":34,"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connectors-data-driven.xlsx":"b514b9fba84d0de4db005d16bbf5880e4be0cf8bdd80fa7ce365d8ad26f29aeb","config/environments.json":"90fe37e6e777c7704ce19b19b103f9b48b12d74aae18e677c026ef7163c51661"},"workbookHash":"59d8265eb74b31f2a94cef1fbeab877a49a2127bbf8f66c419459c8399b0374a"}</dc:description>
  <cp:keywords/>
  <cp:category/>
  <cp:lastModifiedBy>QA Copilot Playwright</cp:lastModifiedBy>
  <dcterms:created xsi:type="dcterms:W3CDTF">2026-09-23T12:59:47Z</dcterms:created>
  <dcterms:modified xsi:type="dcterms:W3CDTF">2026-09-23T12:59:47Z</dcterms:modified>
</cp:coreProperties>
</file>