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utomated Cases" state="visible" r:id="rId5"/>
    <sheet sheetId="3" name="Manual UI UX Cases" state="visible" r:id="rId6"/>
    <sheet sheetId="4" name="Coverage Summary" state="visible" r:id="rId7"/>
    <sheet sheetId="5" name="Field Reference" state="visible" r:id="rId8"/>
  </sheets>
  <definedNames>
    <definedName name="_xlnm.Print_Titles" localSheetId="1">'Automated Cases'!$1:$1</definedName>
    <definedName name="_xlnm.Print_Titles" localSheetId="2">'Manual UI UX Cases'!$1:$1</definedName>
  </definedNames>
  <calcPr calcId="171027" fullCalcOnLoad="1"/>
</workbook>
</file>

<file path=xl/sharedStrings.xml><?xml version="1.0" encoding="utf-8"?>
<sst xmlns="http://schemas.openxmlformats.org/spreadsheetml/2006/main" count="803" uniqueCount="430">
  <si>
    <t>Product Tour UI/UX Test Suite</t>
  </si>
  <si>
    <t>Human-readable test design for review, execution and stakeholder sharing</t>
  </si>
  <si>
    <t>Topic</t>
  </si>
  <si>
    <t>Guidance</t>
  </si>
  <si>
    <t>Applies To</t>
  </si>
  <si>
    <t>Purpose</t>
  </si>
  <si>
    <t>Independent Product Tour UI/UX test-case workbook. Scope: Explore June AI launcher, ordered cross-module guidance, navigation, dismissal, authorization, accessibility and responsive behavior.</t>
  </si>
  <si>
    <t>All sheets</t>
  </si>
  <si>
    <t>Coverage</t>
  </si>
  <si>
    <t>12 current automated cases plus 9 additional manual UI/UX cases.</t>
  </si>
  <si>
    <t>Summary</t>
  </si>
  <si>
    <t>Existing data preserved</t>
  </si>
  <si>
    <t>The runtime workbook test-data/product-tour-data-driven.xlsx remains unchanged and continues to drive Playwright.</t>
  </si>
  <si>
    <t>Automation</t>
  </si>
  <si>
    <t>Automated Cases</t>
  </si>
  <si>
    <t>Plain-language view of the current Playwright coverage. Actions and assertions remain in code; test data remains in the runtime workbook.</t>
  </si>
  <si>
    <t>Manual UI/UX Cases</t>
  </si>
  <si>
    <t>Visual, usability, accessibility, responsive, feedback and compatibility checks that require human observation or assistive tools.</t>
  </si>
  <si>
    <t>Execute automation</t>
  </si>
  <si>
    <t>From the repository root: npm.cmd run env:run -- &lt;dev|uat|live&gt; product-tour. Append --headed for visible Chrome.</t>
  </si>
  <si>
    <t>Manual status</t>
  </si>
  <si>
    <t>Update only Status, Actual Result, Executed By, Executed On, Defect ID and Remarks while executing manual cases.</t>
  </si>
  <si>
    <t>Manual execution preservation</t>
  </si>
  <si>
    <t>Regeneration matches Manual UI UX Cases by Test Case ID and carries forward the editable execution fields for IDs that remain.</t>
  </si>
  <si>
    <t>Most important cases</t>
  </si>
  <si>
    <t>P0 is highest priority and is highlighted red; P1 is highlighted orange. The eight @smoke and @prod-smoke rows are the minimum read-only critical path, while @sanity is the broader fast confidence pack.</t>
  </si>
  <si>
    <t>Priority and suite tags</t>
  </si>
  <si>
    <t>Test Suites</t>
  </si>
  <si>
    <t>Registry-derived reusable packs such as Functional, Non-Functional, Smoke, Sanity, Regression, Accessibility, Performance and UAT.</t>
  </si>
  <si>
    <t>Both case sheets</t>
  </si>
  <si>
    <t>Execution Tags</t>
  </si>
  <si>
    <t>Automated rows contain registry tags synchronized to Playwright titles. Manual rows use reporting/filter tags and also include @manual, the module slug and normalized UX category.</t>
  </si>
  <si>
    <t>Run tagged automation</t>
  </si>
  <si>
    <t>Use npm.cmd run test:smoke, test:sanity, test:regression, test:security, test:a11y, test:api, test:e2e:tagged or test:integration. Each command selects the eight primary module files in Chrome.</t>
  </si>
  <si>
    <t>Environment-specific packs</t>
  </si>
  <si>
    <t>Use npm.cmd run test:uat:tagged for the UAT acceptance pack. npm.cmd run test:prod-smoke runs only the eight curated read-only @prod-smoke cases in LIVE.</t>
  </si>
  <si>
    <t>Manual-only packs</t>
  </si>
  <si>
    <t>Responsive, compatibility, visual-regression, performance, localization and exploratory tags identify designed manual reviews unless a row is explicitly present in Automated Cases.</t>
  </si>
  <si>
    <t>Retest</t>
  </si>
  <si>
    <t>Retest is defect-specific and intentionally not assigned statically; select the affected case when validating a particular fix.</t>
  </si>
  <si>
    <t>Execution planning</t>
  </si>
  <si>
    <t>Automation evidence</t>
  </si>
  <si>
    <t>Each executed Pass or Fail case automatically adds a privacy-masked final screenshot to the same Test Case ID row in the per-run Excel report under test-results/&lt;environment&gt;/excel. The row also links to the full image in its evidence folder; this static design workbook remains unchanged.</t>
  </si>
  <si>
    <t>Automated execution</t>
  </si>
  <si>
    <t>Manual evidence</t>
  </si>
  <si>
    <t>Attach screenshots, videos, accessibility output or defect links in the team test-management location; reference the Test Case ID.</t>
  </si>
  <si>
    <t>Manual execution</t>
  </si>
  <si>
    <t>Environment safety</t>
  </si>
  <si>
    <t>Use approved synthetic data. Review Write Operation cases before LIVE execution and confirm environment-specific accounts and permissions.</t>
  </si>
  <si>
    <t>All execution</t>
  </si>
  <si>
    <t>Expected results</t>
  </si>
  <si>
    <t>Results are written as observable outcomes so product, design, QA and engineering readers can interpret them consistently.</t>
  </si>
  <si>
    <t>All cases</t>
  </si>
  <si>
    <t>UI/UX scope</t>
  </si>
  <si>
    <t>API-only fields such as HTTP method, response status, JSONPath and response timing are outside this UI/UX workbook scope.</t>
  </si>
  <si>
    <t>Workbook design</t>
  </si>
  <si>
    <t>Regenerate</t>
  </si>
  <si>
    <t>From the repository root: npm.cmd run data:ui-ux-suites</t>
  </si>
  <si>
    <t>Maintenance</t>
  </si>
  <si>
    <t>Sequence</t>
  </si>
  <si>
    <t>Test Case ID</t>
  </si>
  <si>
    <t>Module</t>
  </si>
  <si>
    <t>Feature / Area</t>
  </si>
  <si>
    <t>Test Case Title</t>
  </si>
  <si>
    <t>Objective</t>
  </si>
  <si>
    <t>Preconditions</t>
  </si>
  <si>
    <t>Test Steps</t>
  </si>
  <si>
    <t>Test Data / Inputs</t>
  </si>
  <si>
    <t>Expected Result</t>
  </si>
  <si>
    <t>Category</t>
  </si>
  <si>
    <t>Scenario Type</t>
  </si>
  <si>
    <t>Priority</t>
  </si>
  <si>
    <t>Severity</t>
  </si>
  <si>
    <t>Automation Status</t>
  </si>
  <si>
    <t>Write Operation</t>
  </si>
  <si>
    <t>Environment</t>
  </si>
  <si>
    <t>Tags</t>
  </si>
  <si>
    <t>Source</t>
  </si>
  <si>
    <t>Notes</t>
  </si>
  <si>
    <t>PT-001</t>
  </si>
  <si>
    <t>Product Tour</t>
  </si>
  <si>
    <t>Platform overview tour</t>
  </si>
  <si>
    <t>Complete the Platform Overview guided tour</t>
  </si>
  <si>
    <t>Verify the seven recorded platform guidance steps and completion action.</t>
  </si>
  <si>
    <t xml:space="preserve">1. A valid authenticated June session is available.
2. The active business exposes Explore June AI.</t>
  </si>
  <si>
    <t xml:space="preserve">1. Open Explore June AI from the authenticated account menu.
2. Launch Platform Overview.
3. Verify all seven ordered step descriptions and counters.
4. Complete the tour with Done.</t>
  </si>
  <si>
    <t xml:space="preserve">Tour Entry: Platform Overview
Expected Start Path: /task
Expected Final Path: /task
Steps: Welcome to June AI., Start a conversation, Ask anything, Choose your model, Build your stack, Organize work, You're ready</t>
  </si>
  <si>
    <t>The Platform Overview tour shows all seven recorded steps on Task and closes with Done.</t>
  </si>
  <si>
    <t>Functional</t>
  </si>
  <si>
    <t>Positive</t>
  </si>
  <si>
    <t>P1</t>
  </si>
  <si>
    <t>Major</t>
  </si>
  <si>
    <t>Automated</t>
  </si>
  <si>
    <t>NO</t>
  </si>
  <si>
    <t>Configured DEV / UAT / LIVE</t>
  </si>
  <si>
    <t>Functional, Smoke, Production Smoke, Sanity, Regression, UAT</t>
  </si>
  <si>
    <t>@functional @smoke @prod-smoke @sanity @regression @uat</t>
  </si>
  <si>
    <t>flow, product-tour, platform-overview, navigation</t>
  </si>
  <si>
    <t>product-tour-data-driven.xlsx</t>
  </si>
  <si>
    <t>Mapped from the DEV Codegen tour and verified against the live step text.</t>
  </si>
  <si>
    <t>PT-002</t>
  </si>
  <si>
    <t>Agents tour</t>
  </si>
  <si>
    <t>Complete the Agents guided tour without creating an agent</t>
  </si>
  <si>
    <t>Verify discovery and all New Agent setup guidance without submitting business data.</t>
  </si>
  <si>
    <t xml:space="preserve">1. Launch Agents from Explore June AI.
2. Verify the four discovery and create-introduction steps.
3. Verify all twelve New Agent guidance steps.
4. Choose Done and cancel the empty draft.</t>
  </si>
  <si>
    <t xml:space="preserve">Tour Entry: Agents
Expected Start Path: /agents
Expected Final Path: /agents
Steps: Welcome to Agents., Find agents quickly, Browse by type, Create an agent, New Agent, Setup steps, Information, Instructions, Tools, Connectors, Swarm, Knowledge, Guardrail, UI Component, Access, Save your agent</t>
  </si>
  <si>
    <t>All sixteen Agents steps appear in order and the empty New Agent draft is exited without creation.</t>
  </si>
  <si>
    <t>Functional, Regression, End-to-End</t>
  </si>
  <si>
    <t>@functional @regression @e2e</t>
  </si>
  <si>
    <t>flow, product-tour, agents, e2e</t>
  </si>
  <si>
    <t>PT-003</t>
  </si>
  <si>
    <t>Tools tour</t>
  </si>
  <si>
    <t>Complete the Tools guided tour without creating a tool</t>
  </si>
  <si>
    <t>Verify tool discovery, API Details and Access guidance without saving.</t>
  </si>
  <si>
    <t xml:space="preserve">1. Launch Tools from Explore June AI.
2. Verify all ten ordered tour steps.
3. Choose Done and cancel the empty tool draft.</t>
  </si>
  <si>
    <t xml:space="preserve">Tour Entry: Tools
Expected Start Path: /tools
Expected Final Path: /tools
Steps: Welcome to Tools., Find tools quickly, Browse by type, Create a tool, New Tool, Setup steps, Information, API Details, Access, Save your tool</t>
  </si>
  <si>
    <t>All ten Tools steps appear in order and no Tool is created.</t>
  </si>
  <si>
    <t>flow, product-tour, tools, e2e</t>
  </si>
  <si>
    <t>PT-004</t>
  </si>
  <si>
    <t>Connectors tour</t>
  </si>
  <si>
    <t>Complete the Connectors guided tour without creating a connector</t>
  </si>
  <si>
    <t>Verify connector discovery, Information and Access guidance without saving.</t>
  </si>
  <si>
    <t xml:space="preserve">1. Launch Connectors from Explore June AI.
2. Verify all seven ordered tour steps.
3. Choose Done and cancel the empty connector draft.</t>
  </si>
  <si>
    <t xml:space="preserve">Tour Entry: Connectors
Expected Start Path: /connectors
Expected Final Path: /connectors
Steps: Find connectors quickly, Create a connector, New Connector, Setup steps, Information, Access, Save your connector</t>
  </si>
  <si>
    <t>All seven Connectors steps appear in order and no Connector is created.</t>
  </si>
  <si>
    <t>flow, product-tour, connectors, e2e</t>
  </si>
  <si>
    <t>PT-005</t>
  </si>
  <si>
    <t>Knowledge tour</t>
  </si>
  <si>
    <t>Complete the Knowledge guided tour without creating a knowledge base</t>
  </si>
  <si>
    <t>Verify provider, discovery, Documents and Access guidance without initialization.</t>
  </si>
  <si>
    <t xml:space="preserve">1. Launch Knowledge from Explore June AI.
2. Verify all ten ordered tour steps.
3. Choose Done and cancel the empty Knowledge Base draft.</t>
  </si>
  <si>
    <t xml:space="preserve">Tour Entry: Knowledge
Expected Start Path: /knowledge-base
Expected Final Path: /knowledge-base
Steps: Welcome to Knowledge Bases., Choose a provider, Find knowledge quickly, Create a knowledge base, New Knowledge Base, Setup steps, Information, Documents, Access, Save your knowledge base</t>
  </si>
  <si>
    <t>All ten Knowledge steps appear in order and no Knowledge Base is initialized.</t>
  </si>
  <si>
    <t>flow, product-tour, knowledge, e2e</t>
  </si>
  <si>
    <t>PT-006</t>
  </si>
  <si>
    <t>Guardrails tour</t>
  </si>
  <si>
    <t>Complete the Guardrails guided tour without creating a guardrail</t>
  </si>
  <si>
    <t>Verify guardrail discovery, API Details and Access guidance without saving.</t>
  </si>
  <si>
    <t xml:space="preserve">1. Launch Guardrails from Explore June AI.
2. Verify all eight ordered tour steps.
3. Choose Done and cancel the empty guardrail draft.</t>
  </si>
  <si>
    <t xml:space="preserve">Tour Entry: Guardrails
Expected Start Path: /guardrails
Expected Final Path: /guardrails
Steps: Find guardrails quickly, Create a guardrail, New Guardrail, Setup steps, Information, API Details, Access, Save your guardrail</t>
  </si>
  <si>
    <t>All eight Guardrails steps appear in order and no Guardrail is created.</t>
  </si>
  <si>
    <t>flow, product-tour, guardrails, e2e</t>
  </si>
  <si>
    <t>PT-007</t>
  </si>
  <si>
    <t>UI Components tour</t>
  </si>
  <si>
    <t>Complete the UI Components guided tour without creating a component</t>
  </si>
  <si>
    <t>Verify UI Component discovery, Designs and Visibility guidance without saving.</t>
  </si>
  <si>
    <t xml:space="preserve">1. Launch UI components from Explore June AI.
2. Verify all nine ordered tour steps.
3. Choose Done and cancel the empty UI Component draft.</t>
  </si>
  <si>
    <t xml:space="preserve">Tour Entry: UI components
Expected Start Path: /ui-components
Expected Final Path: /ui-components
Steps: Welcome to UI Components., Find UI components quickly, Create a UI component, New UI Component, Setup steps, Information, Designs, Visibility, Save your UI component</t>
  </si>
  <si>
    <t>All nine UI Components steps appear in order and no UI Component is created.</t>
  </si>
  <si>
    <t>flow, product-tour, ui-components, e2e</t>
  </si>
  <si>
    <t>PT-008</t>
  </si>
  <si>
    <t>Inbox tour</t>
  </si>
  <si>
    <t>Complete the Inbox guided tour</t>
  </si>
  <si>
    <t>Verify refresh, agent, sort, date, pagination and workspace guidance.</t>
  </si>
  <si>
    <t xml:space="preserve">1. Launch Inbox from Explore June AI.
2. Verify all seven ordered tour steps.
3. Complete the tour with Done.</t>
  </si>
  <si>
    <t xml:space="preserve">Tour Entry: Inbox
Expected Start Path: /inbox
Expected Final Path: /inbox
Steps: Welcome to Inbox., Refresh the list, Filter by agent, Sort workspaces, Filter by date, Move between pages, Open a workspace</t>
  </si>
  <si>
    <t>The Inbox tour shows all seven recorded steps on the Inbox route and closes with Done.</t>
  </si>
  <si>
    <t>flow, product-tour, inbox, e2e</t>
  </si>
  <si>
    <t>PT-009</t>
  </si>
  <si>
    <t>Tour launcher</t>
  </si>
  <si>
    <t>Show every recorded Explore June AI entry</t>
  </si>
  <si>
    <t>Verify the authenticated launcher exposes the complete recorded tour inventory.</t>
  </si>
  <si>
    <t xml:space="preserve">1. Open the authenticated account menu.
2. Open Explore June AI.
3. Verify the eight recorded entries in the launcher.</t>
  </si>
  <si>
    <t>Entries: Platform Overview, Agents, Tools, Connectors, Knowledge, Guardrails, UI components, Inbox</t>
  </si>
  <si>
    <t>Explore June AI lists Platform Overview, Agents, Tools, Connectors, Knowledge, Guardrails, UI components and Inbox.</t>
  </si>
  <si>
    <t>Functional, Sanity, Regression, UAT</t>
  </si>
  <si>
    <t>@functional @sanity @regression @uat</t>
  </si>
  <si>
    <t>flow, product-tour, launcher, navigation</t>
  </si>
  <si>
    <t>Derived from controls observed in the recorded Tour UI.</t>
  </si>
  <si>
    <t>PT-010</t>
  </si>
  <si>
    <t>Tour dismissal</t>
  </si>
  <si>
    <t>Skip a guided tour without leaving the selected module</t>
  </si>
  <si>
    <t>Verify Skip dismisses guidance without unintended navigation or creation.</t>
  </si>
  <si>
    <t xml:space="preserve">1. Launch Platform Overview.
2. Advance once.
3. Choose Skip.
4. Verify the popover closes and Task remains selected.</t>
  </si>
  <si>
    <t xml:space="preserve">Tour Entry: Platform Overview
Expected Path: /task
First Step: Welcome to June AI.
Second Step: Start a conversation</t>
  </si>
  <si>
    <t>Skip closes the active tour, keeps the configured route and creates no business record.</t>
  </si>
  <si>
    <t>Negative</t>
  </si>
  <si>
    <t>Functional, Regression</t>
  </si>
  <si>
    <t>@functional @regression</t>
  </si>
  <si>
    <t>flow, negative, product-tour, skip, navigation</t>
  </si>
  <si>
    <t>PT-011</t>
  </si>
  <si>
    <t>Tour navigation</t>
  </si>
  <si>
    <t>Move backward within a guided tour</t>
  </si>
  <si>
    <t>Verify Back returns to the preceding recorded step and counter.</t>
  </si>
  <si>
    <t xml:space="preserve">1. Launch Platform Overview.
2. Advance from step one to step two.
3. Choose Back.
4. Verify the first description and Step 1 of 7 counter return.
5. Skip the tour.</t>
  </si>
  <si>
    <t xml:space="preserve">Tour Entry: Platform Overview
Expected Path: /task
First Step: Welcome to June AI.
Second Step: Start a conversation
Total Steps: 7</t>
  </si>
  <si>
    <t>Back restores the immediately preceding tour step without closing or duplicating the popover.</t>
  </si>
  <si>
    <t>Positive + Negative</t>
  </si>
  <si>
    <t>flow, negative, product-tour, back-navigation</t>
  </si>
  <si>
    <t>PT-012</t>
  </si>
  <si>
    <t>Tour authorization</t>
  </si>
  <si>
    <t>Block anonymous access to the Product Tour launcher</t>
  </si>
  <si>
    <t>Verify the authenticated Tour launcher is unavailable without a saved session.</t>
  </si>
  <si>
    <t xml:space="preserve">1. Open Task in a browser context with no storage state.
2. Wait for authentication routing to settle.
3. Verify the Explore June AI launcher is not available anonymously.</t>
  </si>
  <si>
    <t xml:space="preserve">Protected Path: /task
Login Path Pattern: /login</t>
  </si>
  <si>
    <t>An anonymous visitor is redirected to authentication or cannot access Explore June AI controls.</t>
  </si>
  <si>
    <t>Security</t>
  </si>
  <si>
    <t>Negative + Security</t>
  </si>
  <si>
    <t>Critical</t>
  </si>
  <si>
    <t>Functional, Non-Functional, Regression, Security</t>
  </si>
  <si>
    <t>@functional @non-functional @regression @security</t>
  </si>
  <si>
    <t>flow, negative, security, product-tour, authentication</t>
  </si>
  <si>
    <t>Test Data / Viewport</t>
  </si>
  <si>
    <t>UX Category</t>
  </si>
  <si>
    <t>Review Method</t>
  </si>
  <si>
    <t>Recommended Environment</t>
  </si>
  <si>
    <t>Status</t>
  </si>
  <si>
    <t>Actual Result</t>
  </si>
  <si>
    <t>Executed By</t>
  </si>
  <si>
    <t>Executed On</t>
  </si>
  <si>
    <t>Defect ID</t>
  </si>
  <si>
    <t>Remarks</t>
  </si>
  <si>
    <t>PT-UX-001</t>
  </si>
  <si>
    <t>Popover hierarchy</t>
  </si>
  <si>
    <t>Present readable guided-tour content hierarchy</t>
  </si>
  <si>
    <t>Confirm that every popover clearly separates its heading, explanation, progress and actions.</t>
  </si>
  <si>
    <t>1. The user is authenticated and Explore June AI is available.</t>
  </si>
  <si>
    <t xml:space="preserve">1. Launch each recorded tour.
2. Review representative first, middle and final steps.
3. Compare heading, body, counter and action placement.</t>
  </si>
  <si>
    <t>Chrome at 1440 x 900; all eight Product Tour entries.</t>
  </si>
  <si>
    <t>Each popover has a clear title and explanation, readable progress, consistent actions and no clipped or overlapping text.</t>
  </si>
  <si>
    <t>Usability</t>
  </si>
  <si>
    <t>Manual visual review with screenshots.</t>
  </si>
  <si>
    <t>DEV first; repeat in UAT before release.</t>
  </si>
  <si>
    <t>Non-Functional, Regression</t>
  </si>
  <si>
    <t>@non-functional @regression @manual @product-tour @usability</t>
  </si>
  <si>
    <t>Not Run</t>
  </si>
  <si>
    <t/>
  </si>
  <si>
    <t>PT-UX-002</t>
  </si>
  <si>
    <t>Spotlight alignment</t>
  </si>
  <si>
    <t>Align every spotlight with its described control</t>
  </si>
  <si>
    <t>Verify that the highlighted target matches the current instruction after navigation and modal transitions.</t>
  </si>
  <si>
    <t>1. All recorded module controls are available in the active business.</t>
  </si>
  <si>
    <t xml:space="preserve">1. Run each tour from first to last step.
2. At every step compare the highlighted element with the description.
3. Inspect alignment after each create form opens.</t>
  </si>
  <si>
    <t>Desktop viewport 1440 x 900 and browser zoom 100%.</t>
  </si>
  <si>
    <t>The spotlight surrounds only the described control, updates once per step and never remains on a stale target.</t>
  </si>
  <si>
    <t>Visual quality</t>
  </si>
  <si>
    <t>Manual step-by-step visual review and screen recording.</t>
  </si>
  <si>
    <t>DEV and UAT.</t>
  </si>
  <si>
    <t>@non-functional @regression @manual @product-tour @visual-quality</t>
  </si>
  <si>
    <t>PT-UX-003</t>
  </si>
  <si>
    <t>Keyboard navigation</t>
  </si>
  <si>
    <t>Operate Product Tours with the keyboard</t>
  </si>
  <si>
    <t>Confirm complete tour navigation without a pointer.</t>
  </si>
  <si>
    <t>1. A tour is open at its first step.</t>
  </si>
  <si>
    <t xml:space="preserve">1. Use Tab and Shift+Tab through available actions.
2. Activate Next, Back, Skip and Done with Enter or Space.
3. Verify focus after the tour closes.</t>
  </si>
  <si>
    <t>Keyboard-only execution for Platform Overview and one create-form tour.</t>
  </si>
  <si>
    <t>Focus order is logical and visible; every action is operable; focus stays inside the active popover and returns to a meaningful control after dismissal.</t>
  </si>
  <si>
    <t>Accessibility</t>
  </si>
  <si>
    <t>Keyboard and focus-indicator review.</t>
  </si>
  <si>
    <t>DEV first; repeat in UAT.</t>
  </si>
  <si>
    <t>Non-Functional, Regression, Accessibility</t>
  </si>
  <si>
    <t>@non-functional @regression @a11y @accessibility @manual @product-tour</t>
  </si>
  <si>
    <t>PT-UX-004</t>
  </si>
  <si>
    <t>Screen-reader semantics</t>
  </si>
  <si>
    <t>Expose meaningful Product Tour dialog names</t>
  </si>
  <si>
    <t>Verify that assistive technology announces a meaningful step title instead of a generic label.</t>
  </si>
  <si>
    <t>1. NVDA or another supported screen reader is available.</t>
  </si>
  <si>
    <t xml:space="preserve">1. Launch Platform Overview.
2. Read the dialog name, description, progress and buttons with the screen reader.
3. Repeat on a create-form step.</t>
  </si>
  <si>
    <t>NVDA with Chrome; representative first, middle and final steps.</t>
  </si>
  <si>
    <t>The dialog has a step-specific accessible name; instructions and progress are announced once; controls have meaningful names and states.</t>
  </si>
  <si>
    <t>Screen-reader and accessibility-tree review.</t>
  </si>
  <si>
    <t>PT-UX-005</t>
  </si>
  <si>
    <t>Focus restoration</t>
  </si>
  <si>
    <t>Restore focus after Skip and Done</t>
  </si>
  <si>
    <t>Prevent keyboard users from losing their position when a tour closes.</t>
  </si>
  <si>
    <t>1. Platform Overview or Inbox is open.</t>
  </si>
  <si>
    <t xml:space="preserve">1. Close one tour with Skip.
2. Close another tour with Done.
3. Continue navigating with Tab after each dismissal.</t>
  </si>
  <si>
    <t>Platform Overview Skip and Inbox Done.</t>
  </si>
  <si>
    <t>Focus returns to the launcher or another logical visible control and does not move to hidden or background elements.</t>
  </si>
  <si>
    <t>Keyboard and focus review.</t>
  </si>
  <si>
    <t>PT-UX-006</t>
  </si>
  <si>
    <t>Responsive layout</t>
  </si>
  <si>
    <t>Contain tour popovers across supported viewports</t>
  </si>
  <si>
    <t>Verify that content and highlighted targets remain usable on desktop, tablet and mobile widths.</t>
  </si>
  <si>
    <t>1. Responsive emulation is available.</t>
  </si>
  <si>
    <t xml:space="preserve">1. Run representative tours at desktop, tablet and mobile sizes.
2. Inspect popover placement near every viewport edge.
3. Operate all visible actions.</t>
  </si>
  <si>
    <t>1440 x 900, 1024 x 768, 768 x 1024 and 390 x 844.</t>
  </si>
  <si>
    <t>The popover remains inside the viewport, does not hide the highlighted control, and keeps every action visible and operable.</t>
  </si>
  <si>
    <t>Responsive design</t>
  </si>
  <si>
    <t>Responsive viewport and touch-target review.</t>
  </si>
  <si>
    <t>Non-Functional, Regression, Responsive</t>
  </si>
  <si>
    <t>@non-functional @regression @responsive @manual @product-tour @responsive-design</t>
  </si>
  <si>
    <t>PT-UX-007</t>
  </si>
  <si>
    <t>Zoom and reflow</t>
  </si>
  <si>
    <t>Reflow Product Tour content at 200 percent zoom</t>
  </si>
  <si>
    <t>Ensure text enlargement does not obscure content or actions.</t>
  </si>
  <si>
    <t>1. A desktop browser supports page zoom.</t>
  </si>
  <si>
    <t xml:space="preserve">1. Set browser zoom to 200 percent.
2. Run Platform Overview and Agents tours.
3. Inspect text wrapping, scrolling and action access.</t>
  </si>
  <si>
    <t>Chrome at 1280 x 720 and 200% zoom.</t>
  </si>
  <si>
    <t>All text reflows without overlap or horizontal clipping and Next, Back, Skip and Done remain reachable.</t>
  </si>
  <si>
    <t>Accessibility and responsive design</t>
  </si>
  <si>
    <t>Zoom and text-reflow review.</t>
  </si>
  <si>
    <t>Non-Functional, Regression, Accessibility, Responsive</t>
  </si>
  <si>
    <t>@non-functional @regression @a11y @responsive @accessibility-and-responsive-design @manual @product-tour</t>
  </si>
  <si>
    <t>PT-UX-008</t>
  </si>
  <si>
    <t>Theme and contrast</t>
  </si>
  <si>
    <t>Maintain readable tour contrast in supported themes</t>
  </si>
  <si>
    <t>Verify popover, spotlight and focus visibility in light, dark and forced-color modes.</t>
  </si>
  <si>
    <t>1. Theme switching and forced-color emulation are available.</t>
  </si>
  <si>
    <t xml:space="preserve">1. Open representative steps in light mode.
2. Repeat in dark mode and forced-color mode.
3. Measure text, control and focus contrast.</t>
  </si>
  <si>
    <t>Platform, create-form and Inbox steps in three display modes.</t>
  </si>
  <si>
    <t>Text and controls meet contrast expectations; spotlight boundaries and focus indicators remain visible without relying on color alone.</t>
  </si>
  <si>
    <t>Accessibility and visual quality</t>
  </si>
  <si>
    <t>Contrast tooling and visual review.</t>
  </si>
  <si>
    <t>@non-functional @regression @a11y @accessibility-and-visual-quality @manual @product-tour</t>
  </si>
  <si>
    <t>PT-UX-009</t>
  </si>
  <si>
    <t>Motion and stability</t>
  </si>
  <si>
    <t>Transition between tour steps without disruptive motion</t>
  </si>
  <si>
    <t>Confirm that step and modal transitions remain stable and respect reduced-motion preferences.</t>
  </si>
  <si>
    <t>1. Reduced-motion emulation and screen recording are available.</t>
  </si>
  <si>
    <t xml:space="preserve">1. Record a full create-form tour with normal motion.
2. Repeat with prefers-reduced-motion enabled.
3. Review layout shifts, flicker and animation duration.</t>
  </si>
  <si>
    <t>Agents and UI Components tours with normal and reduced motion.</t>
  </si>
  <si>
    <t>Transitions do not flicker or shift unrelated content; reduced-motion mode removes nonessential movement; controls remain responsive throughout.</t>
  </si>
  <si>
    <t>Motion and performance</t>
  </si>
  <si>
    <t>Screen recording, reduced-motion emulation and visual review.</t>
  </si>
  <si>
    <t>P2</t>
  </si>
  <si>
    <t>Minor</t>
  </si>
  <si>
    <t>DEV first; confirm in UAT.</t>
  </si>
  <si>
    <t>Non-Functional, Regression, Performance</t>
  </si>
  <si>
    <t>@non-functional @regression @performance @manual @motion-and-performance @product-tour</t>
  </si>
  <si>
    <t>Product Tour Coverage Summary</t>
  </si>
  <si>
    <t>Automated functionality and manual UI/UX review are tracked separately.</t>
  </si>
  <si>
    <t>Section</t>
  </si>
  <si>
    <t>Metric</t>
  </si>
  <si>
    <t>Count</t>
  </si>
  <si>
    <t>Meaning</t>
  </si>
  <si>
    <t>Overview</t>
  </si>
  <si>
    <t>Automated cases</t>
  </si>
  <si>
    <t>Current Playwright-covered behaviors.</t>
  </si>
  <si>
    <t>Manual UI/UX cases</t>
  </si>
  <si>
    <t>Human-observation and assistive-tool checks.</t>
  </si>
  <si>
    <t>Total documented cases</t>
  </si>
  <si>
    <t>Complete module test design in this workbook.</t>
  </si>
  <si>
    <t>Safety</t>
  </si>
  <si>
    <t>Automated write operations</t>
  </si>
  <si>
    <t>Automated cases that persist synthetic data.</t>
  </si>
  <si>
    <t>Manual cases awaiting execution.</t>
  </si>
  <si>
    <t>Pass</t>
  </si>
  <si>
    <t>Manual cases completed successfully.</t>
  </si>
  <si>
    <t>Fail</t>
  </si>
  <si>
    <t>Manual cases with observed defects.</t>
  </si>
  <si>
    <t>Priority coverage for P1.</t>
  </si>
  <si>
    <t>Priority coverage for P2.</t>
  </si>
  <si>
    <t>Severity coverage for Critical.</t>
  </si>
  <si>
    <t>Severity coverage for Major.</t>
  </si>
  <si>
    <t>Severity coverage for Minor.</t>
  </si>
  <si>
    <t>Test suite</t>
  </si>
  <si>
    <t>12 automated and 0 manual case(s) carry @functional.</t>
  </si>
  <si>
    <t>Non-Functional</t>
  </si>
  <si>
    <t>1 automated and 9 manual case(s) carry @non-functional.</t>
  </si>
  <si>
    <t>Smoke</t>
  </si>
  <si>
    <t>1 automated and 0 manual case(s) carry @smoke.</t>
  </si>
  <si>
    <t>Production Smoke</t>
  </si>
  <si>
    <t>1 automated and 0 manual case(s) carry @prod-smoke.</t>
  </si>
  <si>
    <t>Sanity</t>
  </si>
  <si>
    <t>2 automated and 0 manual case(s) carry @sanity.</t>
  </si>
  <si>
    <t>Regression</t>
  </si>
  <si>
    <t>12 automated and 9 manual case(s) carry @regression.</t>
  </si>
  <si>
    <t>End-to-End</t>
  </si>
  <si>
    <t>7 automated and 0 manual case(s) carry @e2e.</t>
  </si>
  <si>
    <t>1 automated and 0 manual case(s) carry @security.</t>
  </si>
  <si>
    <t>0 automated and 5 manual case(s) carry @a11y.</t>
  </si>
  <si>
    <t>Responsive</t>
  </si>
  <si>
    <t>0 automated and 2 manual case(s) carry @responsive.</t>
  </si>
  <si>
    <t>Performance</t>
  </si>
  <si>
    <t>0 automated and 1 manual case(s) carry @performance.</t>
  </si>
  <si>
    <t>UAT</t>
  </si>
  <si>
    <t>2 automated and 0 manual case(s) carry @uat.</t>
  </si>
  <si>
    <t>Assigned only when a specific failed case is rerun after a defect fix; intentionally zero at design time.</t>
  </si>
  <si>
    <t>Manual category</t>
  </si>
  <si>
    <t>Manual Accessibility review coverage.</t>
  </si>
  <si>
    <t>Manual Accessibility and responsive design review coverage.</t>
  </si>
  <si>
    <t>Manual Accessibility and visual quality review coverage.</t>
  </si>
  <si>
    <t>Manual Motion and performance review coverage.</t>
  </si>
  <si>
    <t>Manual Responsive design review coverage.</t>
  </si>
  <si>
    <t>Manual Usability review coverage.</t>
  </si>
  <si>
    <t>Manual Visual quality review coverage.</t>
  </si>
  <si>
    <t>Field</t>
  </si>
  <si>
    <t>Sheet</t>
  </si>
  <si>
    <t>Editable During Execution</t>
  </si>
  <si>
    <t>Required</t>
  </si>
  <si>
    <t>Description</t>
  </si>
  <si>
    <t>Example</t>
  </si>
  <si>
    <t>No</t>
  </si>
  <si>
    <t>Yes</t>
  </si>
  <si>
    <t>Unique Product Tour case reference used in evidence and defects.</t>
  </si>
  <si>
    <t>PT-001 / PT-UX-001</t>
  </si>
  <si>
    <t>Page section or user journey covered by the case.</t>
  </si>
  <si>
    <t>Product Tour navigation</t>
  </si>
  <si>
    <t>Why the case exists and what risk it addresses.</t>
  </si>
  <si>
    <t>Verify the interface remains understandable at 200% zoom.</t>
  </si>
  <si>
    <t>Required account, data or page state before execution.</t>
  </si>
  <si>
    <t>A valid authenticated session is available.</t>
  </si>
  <si>
    <t>Numbered actions written for a human reader.</t>
  </si>
  <si>
    <t xml:space="preserve">1. Open the module.
2. Use keyboard navigation.</t>
  </si>
  <si>
    <t>Readable rendering of the existing Excel-driven test data.</t>
  </si>
  <si>
    <t>Maximum length: 100</t>
  </si>
  <si>
    <t>Manual UI UX Cases</t>
  </si>
  <si>
    <t>Browser, viewport, zoom, assistive technology or content variant.</t>
  </si>
  <si>
    <t>Chrome, 1280×720, 200% zoom</t>
  </si>
  <si>
    <t>Observable outcome used to decide Pass or Fail.</t>
  </si>
  <si>
    <t>All controls remain visible and operable without overlap.</t>
  </si>
  <si>
    <t>Category / UX Category</t>
  </si>
  <si>
    <t>Functional grouping for automation or review discipline for manual UI/UX.</t>
  </si>
  <si>
    <t>How the UI/UX case should be evaluated.</t>
  </si>
  <si>
    <t>Keyboard-only and screen-reader review</t>
  </si>
  <si>
    <t>Execution/business priority from P0 (highest) through P3.</t>
  </si>
  <si>
    <t>Expected impact if the behavior fails.</t>
  </si>
  <si>
    <t>Confirms the case is implemented in Playwright.</t>
  </si>
  <si>
    <t>YES means the automation creates, updates, uploads or deletes synthetic data.</t>
  </si>
  <si>
    <t>YES</t>
  </si>
  <si>
    <t>Registry-derived reusable suite membership. Retest is defect-specific and is not assigned statically.</t>
  </si>
  <si>
    <t>Functional, Smoke, Regression</t>
  </si>
  <si>
    <t>Automated tags are synchronized to Playwright titles. Manual tags support test-management filtering and include @manual, module and UX-category tags.</t>
  </si>
  <si>
    <t>@non-functional @regression @manual @product-tour @accessibility</t>
  </si>
  <si>
    <t>Searchable catalog labels retained from the code-first case definitions; use Execution Tags for supported Playwright suite filters.</t>
  </si>
  <si>
    <t>flow, validation, tools</t>
  </si>
  <si>
    <t>Execution outcome selected from the dropdown.</t>
  </si>
  <si>
    <t>Not Run / Pass / Fail / Blocked</t>
  </si>
  <si>
    <t>When executed</t>
  </si>
  <si>
    <t>What was actually observed, including concise evidence references.</t>
  </si>
  <si>
    <t>Focus moved behind the modal.</t>
  </si>
  <si>
    <t>Executed By / On</t>
  </si>
  <si>
    <t>Executor name and execution date.</t>
  </si>
  <si>
    <t>QA User / 2026-09-21</t>
  </si>
  <si>
    <t>On failure</t>
  </si>
  <si>
    <t>Linked defect or issue identifier.</t>
  </si>
  <si>
    <t>BUG-1234</t>
  </si>
  <si>
    <t>Additional context, browser version or evidence location.</t>
  </si>
  <si>
    <t>Reproduced in Chrome and Firefox.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</si>
</sst>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1F4E78"/>
      <sz val="11"/>
    </font>
    <font>
      <b/>
      <color rgb="FFFFFFFF"/>
      <sz val="10"/>
    </font>
    <font>
      <b/>
      <color rgb="FF17365D"/>
    </font>
    <font>
      <sz val="10"/>
    </font>
    <font>
      <sz val="9"/>
      <name val="Aptos"/>
    </font>
    <font>
      <b/>
    </font>
    <font>
      <b/>
      <color rgb="FFFFFFFF"/>
      <sz val="17"/>
    </font>
    <font>
      <i/>
      <color rgb="FF1F4E78"/>
    </font>
    <font>
      <b/>
      <color rgb="FF548235"/>
    </font>
  </fonts>
  <fills count="8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FCE4D6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0F6B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6" borderId="0" xfId="0" applyFont="1" applyFill="1" applyAlignment="1">
      <alignment horizontal="left" vertical="center"/>
    </xf>
    <xf numFmtId="0" fontId="9" fillId="0" borderId="0" xfId="0" applyFont="1"/>
    <xf numFmtId="0" fontId="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duct TourAutomatedCases" displayName="Product TourAutomatedCases" ref="A1:V13" totalsRowShown="1" headerRowCount="1">
  <autoFilter ref="A1:V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Sequence" totalsRowLabel="Total"/>
    <tableColumn id="2" name="Test Case ID" totalsRowFunction="none"/>
    <tableColumn id="3" name="Module" totalsRowFunction="none"/>
    <tableColumn id="4" name="Feature / Area" totalsRowFunction="none"/>
    <tableColumn id="5" name="Test Case Title" totalsRowFunction="none"/>
    <tableColumn id="6" name="Objective" totalsRowFunction="none"/>
    <tableColumn id="7" name="Preconditions" totalsRowFunction="none"/>
    <tableColumn id="8" name="Test Steps" totalsRowFunction="none"/>
    <tableColumn id="9" name="Test Data / Inputs" totalsRowFunction="none"/>
    <tableColumn id="10" name="Expected Result" totalsRowFunction="none"/>
    <tableColumn id="11" name="Category" totalsRowFunction="none"/>
    <tableColumn id="12" name="Scenario Type" totalsRowFunction="none"/>
    <tableColumn id="13" name="Priority" totalsRowFunction="none"/>
    <tableColumn id="14" name="Severity" totalsRowFunction="none"/>
    <tableColumn id="15" name="Automation Status" totalsRowFunction="none"/>
    <tableColumn id="16" name="Write Operation" totalsRowFunction="none"/>
    <tableColumn id="17" name="Environment" totalsRowFunction="none"/>
    <tableColumn id="18" name="Test Suites" totalsRowFunction="none"/>
    <tableColumn id="19" name="Execution Tags" totalsRowFunction="none"/>
    <tableColumn id="20" name="Tags" totalsRowFunction="none"/>
    <tableColumn id="21" name="Source" totalsRowFunction="none"/>
    <tableColumn id="22" name="Note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roduct TourManualUiUxCases" displayName="Product TourManualUiUxCases" ref="A1:W10" totalsRowShown="1" headerRowCount="1">
  <autoFilter ref="A1:W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Sequence" totalsRowLabel="Total"/>
    <tableColumn id="2" name="Test Case ID" totalsRowFunction="none"/>
    <tableColumn id="3" name="Module" totalsRowFunction="none"/>
    <tableColumn id="4" name="Feature / Area" totalsRowFunction="none"/>
    <tableColumn id="5" name="Test Case Title" totalsRowFunction="none"/>
    <tableColumn id="6" name="Objective" totalsRowFunction="none"/>
    <tableColumn id="7" name="Preconditions" totalsRowFunction="none"/>
    <tableColumn id="8" name="Test Steps" totalsRowFunction="none"/>
    <tableColumn id="9" name="Test Data / Viewport" totalsRowFunction="none"/>
    <tableColumn id="10" name="Expected Result" totalsRowFunction="none"/>
    <tableColumn id="11" name="UX Category" totalsRowFunction="none"/>
    <tableColumn id="12" name="Review Method" totalsRowFunction="none"/>
    <tableColumn id="13" name="Priority" totalsRowFunction="none"/>
    <tableColumn id="14" name="Severity" totalsRowFunction="none"/>
    <tableColumn id="15" name="Recommended Environment" totalsRowFunction="none"/>
    <tableColumn id="16" name="Test Suites" totalsRowFunction="none"/>
    <tableColumn id="17" name="Execution Tags" totalsRowFunction="none"/>
    <tableColumn id="18" name="Status" totalsRowFunction="none"/>
    <tableColumn id="19" name="Actual Result" totalsRowFunction="none"/>
    <tableColumn id="20" name="Executed By" totalsRowFunction="none"/>
    <tableColumn id="21" name="Executed On" totalsRowFunction="none"/>
    <tableColumn id="22" name="Defect ID" totalsRowFunction="none"/>
    <tableColumn id="23" name="Remarks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roduct TourUiUxFieldReference" displayName="Product TourUiUxFieldReference" ref="A1:F23" totalsRowShown="1" headerRowCount="1">
  <autoFilter ref="A1:F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Field" totalsRowLabel="Total"/>
    <tableColumn id="2" name="Sheet" totalsRowFunction="none"/>
    <tableColumn id="3" name="Editable During Execution" totalsRowFunction="none"/>
    <tableColumn id="4" name="Required" totalsRowFunction="none"/>
    <tableColumn id="5" name="Description" totalsRowFunction="none"/>
    <tableColumn id="6" name="Example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C2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8" customWidth="1"/>
    <col min="3" max="3" width="25" customWidth="1"/>
  </cols>
  <sheetData>
    <row r="1" ht="34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3" spans="1:3" x14ac:dyDescent="0.25"/>
    <row r="4" ht="30" customHeight="1" spans="1:3" s="3" customFormat="1" x14ac:dyDescent="0.25">
      <c r="A4" s="3" t="s">
        <v>2</v>
      </c>
      <c r="B4" s="3" t="s">
        <v>3</v>
      </c>
      <c r="C4" s="3" t="s">
        <v>4</v>
      </c>
    </row>
    <row r="5" ht="36" customHeight="1" spans="1:3" s="4" customFormat="1" x14ac:dyDescent="0.25">
      <c r="A5" s="5" t="s">
        <v>5</v>
      </c>
      <c r="B5" s="6" t="s">
        <v>6</v>
      </c>
      <c r="C5" s="6" t="s">
        <v>7</v>
      </c>
    </row>
    <row r="6" ht="36" customHeight="1" spans="1:3" s="4" customFormat="1" x14ac:dyDescent="0.25">
      <c r="A6" s="5" t="s">
        <v>8</v>
      </c>
      <c r="B6" s="6" t="s">
        <v>9</v>
      </c>
      <c r="C6" s="6" t="s">
        <v>10</v>
      </c>
    </row>
    <row r="7" ht="36" customHeight="1" spans="1:3" s="4" customFormat="1" x14ac:dyDescent="0.25">
      <c r="A7" s="5" t="s">
        <v>11</v>
      </c>
      <c r="B7" s="6" t="s">
        <v>12</v>
      </c>
      <c r="C7" s="6" t="s">
        <v>13</v>
      </c>
    </row>
    <row r="8" ht="36" customHeight="1" spans="1:3" s="4" customFormat="1" x14ac:dyDescent="0.25">
      <c r="A8" s="5" t="s">
        <v>14</v>
      </c>
      <c r="B8" s="6" t="s">
        <v>15</v>
      </c>
      <c r="C8" s="6" t="s">
        <v>14</v>
      </c>
    </row>
    <row r="9" ht="36" customHeight="1" spans="1:3" s="4" customFormat="1" x14ac:dyDescent="0.25">
      <c r="A9" s="5" t="s">
        <v>16</v>
      </c>
      <c r="B9" s="6" t="s">
        <v>17</v>
      </c>
      <c r="C9" s="6" t="s">
        <v>16</v>
      </c>
    </row>
    <row r="10" ht="36" customHeight="1" spans="1:3" s="4" customFormat="1" x14ac:dyDescent="0.25">
      <c r="A10" s="5" t="s">
        <v>18</v>
      </c>
      <c r="B10" s="6" t="s">
        <v>19</v>
      </c>
      <c r="C10" s="6" t="s">
        <v>13</v>
      </c>
    </row>
    <row r="11" ht="36" customHeight="1" spans="1:3" s="4" customFormat="1" x14ac:dyDescent="0.25">
      <c r="A11" s="5" t="s">
        <v>20</v>
      </c>
      <c r="B11" s="6" t="s">
        <v>21</v>
      </c>
      <c r="C11" s="6" t="s">
        <v>16</v>
      </c>
    </row>
    <row r="12" ht="36" customHeight="1" spans="1:3" s="4" customFormat="1" x14ac:dyDescent="0.25">
      <c r="A12" s="5" t="s">
        <v>22</v>
      </c>
      <c r="B12" s="6" t="s">
        <v>23</v>
      </c>
      <c r="C12" s="6" t="s">
        <v>16</v>
      </c>
    </row>
    <row r="13" ht="36" customHeight="1" spans="1:3" s="4" customFormat="1" x14ac:dyDescent="0.25">
      <c r="A13" s="5" t="s">
        <v>24</v>
      </c>
      <c r="B13" s="6" t="s">
        <v>25</v>
      </c>
      <c r="C13" s="6" t="s">
        <v>26</v>
      </c>
    </row>
    <row r="14" ht="36" customHeight="1" spans="1:3" s="4" customFormat="1" x14ac:dyDescent="0.25">
      <c r="A14" s="5" t="s">
        <v>27</v>
      </c>
      <c r="B14" s="6" t="s">
        <v>28</v>
      </c>
      <c r="C14" s="6" t="s">
        <v>29</v>
      </c>
    </row>
    <row r="15" ht="36" customHeight="1" spans="1:3" s="4" customFormat="1" x14ac:dyDescent="0.25">
      <c r="A15" s="5" t="s">
        <v>30</v>
      </c>
      <c r="B15" s="6" t="s">
        <v>31</v>
      </c>
      <c r="C15" s="6" t="s">
        <v>29</v>
      </c>
    </row>
    <row r="16" ht="36" customHeight="1" spans="1:3" s="4" customFormat="1" x14ac:dyDescent="0.25">
      <c r="A16" s="5" t="s">
        <v>32</v>
      </c>
      <c r="B16" s="6" t="s">
        <v>33</v>
      </c>
      <c r="C16" s="6" t="s">
        <v>14</v>
      </c>
    </row>
    <row r="17" ht="36" customHeight="1" spans="1:3" s="4" customFormat="1" x14ac:dyDescent="0.25">
      <c r="A17" s="5" t="s">
        <v>34</v>
      </c>
      <c r="B17" s="6" t="s">
        <v>35</v>
      </c>
      <c r="C17" s="6" t="s">
        <v>14</v>
      </c>
    </row>
    <row r="18" ht="36" customHeight="1" spans="1:3" s="4" customFormat="1" x14ac:dyDescent="0.25">
      <c r="A18" s="5" t="s">
        <v>36</v>
      </c>
      <c r="B18" s="6" t="s">
        <v>37</v>
      </c>
      <c r="C18" s="6" t="s">
        <v>16</v>
      </c>
    </row>
    <row r="19" ht="36" customHeight="1" spans="1:3" s="4" customFormat="1" x14ac:dyDescent="0.25">
      <c r="A19" s="5" t="s">
        <v>38</v>
      </c>
      <c r="B19" s="6" t="s">
        <v>39</v>
      </c>
      <c r="C19" s="6" t="s">
        <v>40</v>
      </c>
    </row>
    <row r="20" ht="36" customHeight="1" spans="1:3" s="4" customFormat="1" x14ac:dyDescent="0.25">
      <c r="A20" s="5" t="s">
        <v>41</v>
      </c>
      <c r="B20" s="6" t="s">
        <v>42</v>
      </c>
      <c r="C20" s="6" t="s">
        <v>43</v>
      </c>
    </row>
    <row r="21" ht="36" customHeight="1" spans="1:3" s="4" customFormat="1" x14ac:dyDescent="0.25">
      <c r="A21" s="5" t="s">
        <v>44</v>
      </c>
      <c r="B21" s="6" t="s">
        <v>45</v>
      </c>
      <c r="C21" s="6" t="s">
        <v>46</v>
      </c>
    </row>
    <row r="22" ht="36" customHeight="1" spans="1:3" s="4" customFormat="1" x14ac:dyDescent="0.25">
      <c r="A22" s="5" t="s">
        <v>47</v>
      </c>
      <c r="B22" s="6" t="s">
        <v>48</v>
      </c>
      <c r="C22" s="6" t="s">
        <v>49</v>
      </c>
    </row>
    <row r="23" ht="36" customHeight="1" spans="1:3" s="4" customFormat="1" x14ac:dyDescent="0.25">
      <c r="A23" s="5" t="s">
        <v>50</v>
      </c>
      <c r="B23" s="6" t="s">
        <v>51</v>
      </c>
      <c r="C23" s="6" t="s">
        <v>52</v>
      </c>
    </row>
    <row r="24" ht="36" customHeight="1" spans="1:3" s="4" customFormat="1" x14ac:dyDescent="0.25">
      <c r="A24" s="5" t="s">
        <v>53</v>
      </c>
      <c r="B24" s="6" t="s">
        <v>54</v>
      </c>
      <c r="C24" s="6" t="s">
        <v>55</v>
      </c>
    </row>
    <row r="25" ht="36" customHeight="1" spans="1:3" s="4" customFormat="1" x14ac:dyDescent="0.25">
      <c r="A25" s="5" t="s">
        <v>56</v>
      </c>
      <c r="B25" s="6" t="s">
        <v>57</v>
      </c>
      <c r="C25" s="6" t="s">
        <v>58</v>
      </c>
    </row>
  </sheetData>
  <autoFilter ref="A4:C4"/>
  <mergeCells count="2">
    <mergeCell ref="A1:C1"/>
    <mergeCell ref="A2:C2"/>
  </mergeCell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  <pageSetUpPr fitToPage="1"/>
  </sheetPr>
  <dimension ref="A1:V13"/>
  <sheetViews>
    <sheetView workbookViewId="0" showGridLines="0" zoomScale="75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3" width="15" customWidth="1"/>
    <col min="4" max="4" width="30" customWidth="1"/>
    <col min="5" max="5" width="46" customWidth="1"/>
    <col min="6" max="6" width="54" customWidth="1"/>
    <col min="7" max="7" width="52" customWidth="1"/>
    <col min="8" max="8" width="66" customWidth="1"/>
    <col min="9" max="9" width="58" customWidth="1"/>
    <col min="10" max="10" width="62" customWidth="1"/>
    <col min="11" max="11" width="20" customWidth="1"/>
    <col min="12" max="12" width="22" customWidth="1"/>
    <col min="13" max="13" width="10" customWidth="1"/>
    <col min="14" max="14" width="12" customWidth="1"/>
    <col min="15" max="15" width="18" customWidth="1"/>
    <col min="16" max="16" width="16" customWidth="1"/>
    <col min="17" max="17" width="30" customWidth="1"/>
    <col min="18" max="18" width="42" customWidth="1"/>
    <col min="19" max="19" width="54" customWidth="1"/>
    <col min="20" max="20" width="40" customWidth="1"/>
    <col min="21" max="21" width="31" customWidth="1"/>
    <col min="22" max="22" width="35" customWidth="1"/>
  </cols>
  <sheetData>
    <row r="1" ht="30" customHeight="1" spans="1:22" s="3" customFormat="1" x14ac:dyDescent="0.2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3" t="s">
        <v>75</v>
      </c>
      <c r="R1" s="3" t="s">
        <v>27</v>
      </c>
      <c r="S1" s="3" t="s">
        <v>30</v>
      </c>
      <c r="T1" s="3" t="s">
        <v>76</v>
      </c>
      <c r="U1" s="3" t="s">
        <v>77</v>
      </c>
      <c r="V1" s="3" t="s">
        <v>78</v>
      </c>
    </row>
    <row r="2" ht="76" customHeight="1" spans="1:22" s="7" customFormat="1" x14ac:dyDescent="0.25">
      <c r="A2" s="7">
        <v>1</v>
      </c>
      <c r="B2" s="8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G2" s="7" t="s">
        <v>84</v>
      </c>
      <c r="H2" s="7" t="s">
        <v>85</v>
      </c>
      <c r="I2" s="9" t="s">
        <v>86</v>
      </c>
      <c r="J2" s="7" t="s">
        <v>87</v>
      </c>
      <c r="K2" s="7" t="s">
        <v>88</v>
      </c>
      <c r="L2" s="7" t="s">
        <v>89</v>
      </c>
      <c r="M2" s="10" t="s">
        <v>90</v>
      </c>
      <c r="N2" s="7" t="s">
        <v>91</v>
      </c>
      <c r="O2" s="7" t="s">
        <v>92</v>
      </c>
      <c r="P2" s="7" t="s">
        <v>93</v>
      </c>
      <c r="Q2" s="7" t="s">
        <v>94</v>
      </c>
      <c r="R2" s="7" t="s">
        <v>95</v>
      </c>
      <c r="S2" s="7" t="s">
        <v>96</v>
      </c>
      <c r="T2" s="7" t="s">
        <v>97</v>
      </c>
      <c r="U2" s="7" t="s">
        <v>98</v>
      </c>
      <c r="V2" s="7" t="s">
        <v>99</v>
      </c>
    </row>
    <row r="3" ht="76" customHeight="1" spans="1:22" s="7" customFormat="1" x14ac:dyDescent="0.25">
      <c r="A3" s="7">
        <v>2</v>
      </c>
      <c r="B3" s="8" t="s">
        <v>100</v>
      </c>
      <c r="C3" s="7" t="s">
        <v>80</v>
      </c>
      <c r="D3" s="7" t="s">
        <v>101</v>
      </c>
      <c r="E3" s="7" t="s">
        <v>102</v>
      </c>
      <c r="F3" s="7" t="s">
        <v>103</v>
      </c>
      <c r="G3" s="7" t="s">
        <v>84</v>
      </c>
      <c r="H3" s="7" t="s">
        <v>104</v>
      </c>
      <c r="I3" s="9" t="s">
        <v>105</v>
      </c>
      <c r="J3" s="7" t="s">
        <v>106</v>
      </c>
      <c r="K3" s="7" t="s">
        <v>88</v>
      </c>
      <c r="L3" s="7" t="s">
        <v>89</v>
      </c>
      <c r="M3" s="10" t="s">
        <v>90</v>
      </c>
      <c r="N3" s="7" t="s">
        <v>91</v>
      </c>
      <c r="O3" s="7" t="s">
        <v>92</v>
      </c>
      <c r="P3" s="7" t="s">
        <v>93</v>
      </c>
      <c r="Q3" s="7" t="s">
        <v>94</v>
      </c>
      <c r="R3" s="7" t="s">
        <v>107</v>
      </c>
      <c r="S3" s="7" t="s">
        <v>108</v>
      </c>
      <c r="T3" s="7" t="s">
        <v>109</v>
      </c>
      <c r="U3" s="7" t="s">
        <v>98</v>
      </c>
      <c r="V3" s="7" t="s">
        <v>99</v>
      </c>
    </row>
    <row r="4" ht="76" customHeight="1" spans="1:22" s="7" customFormat="1" x14ac:dyDescent="0.25">
      <c r="A4" s="7">
        <v>3</v>
      </c>
      <c r="B4" s="8" t="s">
        <v>110</v>
      </c>
      <c r="C4" s="7" t="s">
        <v>80</v>
      </c>
      <c r="D4" s="7" t="s">
        <v>111</v>
      </c>
      <c r="E4" s="7" t="s">
        <v>112</v>
      </c>
      <c r="F4" s="7" t="s">
        <v>113</v>
      </c>
      <c r="G4" s="7" t="s">
        <v>84</v>
      </c>
      <c r="H4" s="7" t="s">
        <v>114</v>
      </c>
      <c r="I4" s="9" t="s">
        <v>115</v>
      </c>
      <c r="J4" s="7" t="s">
        <v>116</v>
      </c>
      <c r="K4" s="7" t="s">
        <v>88</v>
      </c>
      <c r="L4" s="7" t="s">
        <v>89</v>
      </c>
      <c r="M4" s="10" t="s">
        <v>90</v>
      </c>
      <c r="N4" s="7" t="s">
        <v>91</v>
      </c>
      <c r="O4" s="7" t="s">
        <v>92</v>
      </c>
      <c r="P4" s="7" t="s">
        <v>93</v>
      </c>
      <c r="Q4" s="7" t="s">
        <v>94</v>
      </c>
      <c r="R4" s="7" t="s">
        <v>107</v>
      </c>
      <c r="S4" s="7" t="s">
        <v>108</v>
      </c>
      <c r="T4" s="7" t="s">
        <v>117</v>
      </c>
      <c r="U4" s="7" t="s">
        <v>98</v>
      </c>
      <c r="V4" s="7" t="s">
        <v>99</v>
      </c>
    </row>
    <row r="5" ht="76" customHeight="1" spans="1:22" s="7" customFormat="1" x14ac:dyDescent="0.25">
      <c r="A5" s="7">
        <v>4</v>
      </c>
      <c r="B5" s="8" t="s">
        <v>118</v>
      </c>
      <c r="C5" s="7" t="s">
        <v>80</v>
      </c>
      <c r="D5" s="7" t="s">
        <v>119</v>
      </c>
      <c r="E5" s="7" t="s">
        <v>120</v>
      </c>
      <c r="F5" s="7" t="s">
        <v>121</v>
      </c>
      <c r="G5" s="7" t="s">
        <v>84</v>
      </c>
      <c r="H5" s="7" t="s">
        <v>122</v>
      </c>
      <c r="I5" s="9" t="s">
        <v>123</v>
      </c>
      <c r="J5" s="7" t="s">
        <v>124</v>
      </c>
      <c r="K5" s="7" t="s">
        <v>88</v>
      </c>
      <c r="L5" s="7" t="s">
        <v>89</v>
      </c>
      <c r="M5" s="10" t="s">
        <v>90</v>
      </c>
      <c r="N5" s="7" t="s">
        <v>91</v>
      </c>
      <c r="O5" s="7" t="s">
        <v>92</v>
      </c>
      <c r="P5" s="7" t="s">
        <v>93</v>
      </c>
      <c r="Q5" s="7" t="s">
        <v>94</v>
      </c>
      <c r="R5" s="7" t="s">
        <v>107</v>
      </c>
      <c r="S5" s="7" t="s">
        <v>108</v>
      </c>
      <c r="T5" s="7" t="s">
        <v>125</v>
      </c>
      <c r="U5" s="7" t="s">
        <v>98</v>
      </c>
      <c r="V5" s="7" t="s">
        <v>99</v>
      </c>
    </row>
    <row r="6" ht="76" customHeight="1" spans="1:22" s="7" customFormat="1" x14ac:dyDescent="0.25">
      <c r="A6" s="7">
        <v>5</v>
      </c>
      <c r="B6" s="8" t="s">
        <v>126</v>
      </c>
      <c r="C6" s="7" t="s">
        <v>80</v>
      </c>
      <c r="D6" s="7" t="s">
        <v>127</v>
      </c>
      <c r="E6" s="7" t="s">
        <v>128</v>
      </c>
      <c r="F6" s="7" t="s">
        <v>129</v>
      </c>
      <c r="G6" s="7" t="s">
        <v>84</v>
      </c>
      <c r="H6" s="7" t="s">
        <v>130</v>
      </c>
      <c r="I6" s="9" t="s">
        <v>131</v>
      </c>
      <c r="J6" s="7" t="s">
        <v>132</v>
      </c>
      <c r="K6" s="7" t="s">
        <v>88</v>
      </c>
      <c r="L6" s="7" t="s">
        <v>89</v>
      </c>
      <c r="M6" s="10" t="s">
        <v>90</v>
      </c>
      <c r="N6" s="7" t="s">
        <v>91</v>
      </c>
      <c r="O6" s="7" t="s">
        <v>92</v>
      </c>
      <c r="P6" s="7" t="s">
        <v>93</v>
      </c>
      <c r="Q6" s="7" t="s">
        <v>94</v>
      </c>
      <c r="R6" s="7" t="s">
        <v>107</v>
      </c>
      <c r="S6" s="7" t="s">
        <v>108</v>
      </c>
      <c r="T6" s="7" t="s">
        <v>133</v>
      </c>
      <c r="U6" s="7" t="s">
        <v>98</v>
      </c>
      <c r="V6" s="7" t="s">
        <v>99</v>
      </c>
    </row>
    <row r="7" ht="76" customHeight="1" spans="1:22" s="7" customFormat="1" x14ac:dyDescent="0.25">
      <c r="A7" s="7">
        <v>6</v>
      </c>
      <c r="B7" s="8" t="s">
        <v>134</v>
      </c>
      <c r="C7" s="7" t="s">
        <v>80</v>
      </c>
      <c r="D7" s="7" t="s">
        <v>135</v>
      </c>
      <c r="E7" s="7" t="s">
        <v>136</v>
      </c>
      <c r="F7" s="7" t="s">
        <v>137</v>
      </c>
      <c r="G7" s="7" t="s">
        <v>84</v>
      </c>
      <c r="H7" s="7" t="s">
        <v>138</v>
      </c>
      <c r="I7" s="9" t="s">
        <v>139</v>
      </c>
      <c r="J7" s="7" t="s">
        <v>140</v>
      </c>
      <c r="K7" s="7" t="s">
        <v>88</v>
      </c>
      <c r="L7" s="7" t="s">
        <v>89</v>
      </c>
      <c r="M7" s="10" t="s">
        <v>90</v>
      </c>
      <c r="N7" s="7" t="s">
        <v>91</v>
      </c>
      <c r="O7" s="7" t="s">
        <v>92</v>
      </c>
      <c r="P7" s="7" t="s">
        <v>93</v>
      </c>
      <c r="Q7" s="7" t="s">
        <v>94</v>
      </c>
      <c r="R7" s="7" t="s">
        <v>107</v>
      </c>
      <c r="S7" s="7" t="s">
        <v>108</v>
      </c>
      <c r="T7" s="7" t="s">
        <v>141</v>
      </c>
      <c r="U7" s="7" t="s">
        <v>98</v>
      </c>
      <c r="V7" s="7" t="s">
        <v>99</v>
      </c>
    </row>
    <row r="8" ht="76" customHeight="1" spans="1:22" s="7" customFormat="1" x14ac:dyDescent="0.25">
      <c r="A8" s="7">
        <v>7</v>
      </c>
      <c r="B8" s="8" t="s">
        <v>142</v>
      </c>
      <c r="C8" s="7" t="s">
        <v>80</v>
      </c>
      <c r="D8" s="7" t="s">
        <v>143</v>
      </c>
      <c r="E8" s="7" t="s">
        <v>144</v>
      </c>
      <c r="F8" s="7" t="s">
        <v>145</v>
      </c>
      <c r="G8" s="7" t="s">
        <v>84</v>
      </c>
      <c r="H8" s="7" t="s">
        <v>146</v>
      </c>
      <c r="I8" s="9" t="s">
        <v>147</v>
      </c>
      <c r="J8" s="7" t="s">
        <v>148</v>
      </c>
      <c r="K8" s="7" t="s">
        <v>88</v>
      </c>
      <c r="L8" s="7" t="s">
        <v>89</v>
      </c>
      <c r="M8" s="10" t="s">
        <v>90</v>
      </c>
      <c r="N8" s="7" t="s">
        <v>91</v>
      </c>
      <c r="O8" s="7" t="s">
        <v>92</v>
      </c>
      <c r="P8" s="7" t="s">
        <v>93</v>
      </c>
      <c r="Q8" s="7" t="s">
        <v>94</v>
      </c>
      <c r="R8" s="7" t="s">
        <v>107</v>
      </c>
      <c r="S8" s="7" t="s">
        <v>108</v>
      </c>
      <c r="T8" s="7" t="s">
        <v>149</v>
      </c>
      <c r="U8" s="7" t="s">
        <v>98</v>
      </c>
      <c r="V8" s="7" t="s">
        <v>99</v>
      </c>
    </row>
    <row r="9" ht="76" customHeight="1" spans="1:22" s="7" customFormat="1" x14ac:dyDescent="0.25">
      <c r="A9" s="7">
        <v>8</v>
      </c>
      <c r="B9" s="8" t="s">
        <v>150</v>
      </c>
      <c r="C9" s="7" t="s">
        <v>80</v>
      </c>
      <c r="D9" s="7" t="s">
        <v>151</v>
      </c>
      <c r="E9" s="7" t="s">
        <v>152</v>
      </c>
      <c r="F9" s="7" t="s">
        <v>153</v>
      </c>
      <c r="G9" s="7" t="s">
        <v>84</v>
      </c>
      <c r="H9" s="7" t="s">
        <v>154</v>
      </c>
      <c r="I9" s="9" t="s">
        <v>155</v>
      </c>
      <c r="J9" s="7" t="s">
        <v>156</v>
      </c>
      <c r="K9" s="7" t="s">
        <v>88</v>
      </c>
      <c r="L9" s="7" t="s">
        <v>89</v>
      </c>
      <c r="M9" s="10" t="s">
        <v>90</v>
      </c>
      <c r="N9" s="7" t="s">
        <v>91</v>
      </c>
      <c r="O9" s="7" t="s">
        <v>92</v>
      </c>
      <c r="P9" s="7" t="s">
        <v>93</v>
      </c>
      <c r="Q9" s="7" t="s">
        <v>94</v>
      </c>
      <c r="R9" s="7" t="s">
        <v>107</v>
      </c>
      <c r="S9" s="7" t="s">
        <v>108</v>
      </c>
      <c r="T9" s="7" t="s">
        <v>157</v>
      </c>
      <c r="U9" s="7" t="s">
        <v>98</v>
      </c>
      <c r="V9" s="7" t="s">
        <v>99</v>
      </c>
    </row>
    <row r="10" ht="76" customHeight="1" spans="1:22" s="7" customFormat="1" x14ac:dyDescent="0.25">
      <c r="A10" s="7">
        <v>9</v>
      </c>
      <c r="B10" s="8" t="s">
        <v>158</v>
      </c>
      <c r="C10" s="7" t="s">
        <v>80</v>
      </c>
      <c r="D10" s="7" t="s">
        <v>159</v>
      </c>
      <c r="E10" s="7" t="s">
        <v>160</v>
      </c>
      <c r="F10" s="7" t="s">
        <v>161</v>
      </c>
      <c r="G10" s="7" t="s">
        <v>84</v>
      </c>
      <c r="H10" s="7" t="s">
        <v>162</v>
      </c>
      <c r="I10" s="9" t="s">
        <v>163</v>
      </c>
      <c r="J10" s="7" t="s">
        <v>164</v>
      </c>
      <c r="K10" s="7" t="s">
        <v>88</v>
      </c>
      <c r="L10" s="7" t="s">
        <v>89</v>
      </c>
      <c r="M10" s="10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165</v>
      </c>
      <c r="S10" s="7" t="s">
        <v>166</v>
      </c>
      <c r="T10" s="7" t="s">
        <v>167</v>
      </c>
      <c r="U10" s="7" t="s">
        <v>98</v>
      </c>
      <c r="V10" s="7" t="s">
        <v>168</v>
      </c>
    </row>
    <row r="11" ht="76" customHeight="1" spans="1:22" s="7" customFormat="1" x14ac:dyDescent="0.25">
      <c r="A11" s="7">
        <v>10</v>
      </c>
      <c r="B11" s="8" t="s">
        <v>169</v>
      </c>
      <c r="C11" s="7" t="s">
        <v>80</v>
      </c>
      <c r="D11" s="7" t="s">
        <v>170</v>
      </c>
      <c r="E11" s="7" t="s">
        <v>171</v>
      </c>
      <c r="F11" s="7" t="s">
        <v>172</v>
      </c>
      <c r="G11" s="7" t="s">
        <v>84</v>
      </c>
      <c r="H11" s="7" t="s">
        <v>173</v>
      </c>
      <c r="I11" s="9" t="s">
        <v>174</v>
      </c>
      <c r="J11" s="7" t="s">
        <v>175</v>
      </c>
      <c r="K11" s="7" t="s">
        <v>88</v>
      </c>
      <c r="L11" s="7" t="s">
        <v>176</v>
      </c>
      <c r="M11" s="10" t="s">
        <v>90</v>
      </c>
      <c r="N11" s="7" t="s">
        <v>91</v>
      </c>
      <c r="O11" s="7" t="s">
        <v>92</v>
      </c>
      <c r="P11" s="7" t="s">
        <v>93</v>
      </c>
      <c r="Q11" s="7" t="s">
        <v>94</v>
      </c>
      <c r="R11" s="7" t="s">
        <v>177</v>
      </c>
      <c r="S11" s="7" t="s">
        <v>178</v>
      </c>
      <c r="T11" s="7" t="s">
        <v>179</v>
      </c>
      <c r="U11" s="7" t="s">
        <v>98</v>
      </c>
      <c r="V11" s="7" t="s">
        <v>168</v>
      </c>
    </row>
    <row r="12" ht="76" customHeight="1" spans="1:22" s="7" customFormat="1" x14ac:dyDescent="0.25">
      <c r="A12" s="7">
        <v>11</v>
      </c>
      <c r="B12" s="8" t="s">
        <v>180</v>
      </c>
      <c r="C12" s="7" t="s">
        <v>80</v>
      </c>
      <c r="D12" s="7" t="s">
        <v>181</v>
      </c>
      <c r="E12" s="7" t="s">
        <v>182</v>
      </c>
      <c r="F12" s="7" t="s">
        <v>183</v>
      </c>
      <c r="G12" s="7" t="s">
        <v>84</v>
      </c>
      <c r="H12" s="7" t="s">
        <v>184</v>
      </c>
      <c r="I12" s="9" t="s">
        <v>185</v>
      </c>
      <c r="J12" s="7" t="s">
        <v>186</v>
      </c>
      <c r="K12" s="7" t="s">
        <v>88</v>
      </c>
      <c r="L12" s="7" t="s">
        <v>187</v>
      </c>
      <c r="M12" s="10" t="s">
        <v>90</v>
      </c>
      <c r="N12" s="7" t="s">
        <v>91</v>
      </c>
      <c r="O12" s="7" t="s">
        <v>92</v>
      </c>
      <c r="P12" s="7" t="s">
        <v>93</v>
      </c>
      <c r="Q12" s="7" t="s">
        <v>94</v>
      </c>
      <c r="R12" s="7" t="s">
        <v>177</v>
      </c>
      <c r="S12" s="7" t="s">
        <v>178</v>
      </c>
      <c r="T12" s="7" t="s">
        <v>188</v>
      </c>
      <c r="U12" s="7" t="s">
        <v>98</v>
      </c>
      <c r="V12" s="7" t="s">
        <v>168</v>
      </c>
    </row>
    <row r="13" ht="76" customHeight="1" spans="1:22" s="7" customFormat="1" x14ac:dyDescent="0.25">
      <c r="A13" s="7">
        <v>12</v>
      </c>
      <c r="B13" s="8" t="s">
        <v>189</v>
      </c>
      <c r="C13" s="7" t="s">
        <v>80</v>
      </c>
      <c r="D13" s="7" t="s">
        <v>190</v>
      </c>
      <c r="E13" s="7" t="s">
        <v>191</v>
      </c>
      <c r="F13" s="7" t="s">
        <v>192</v>
      </c>
      <c r="G13" s="7" t="s">
        <v>84</v>
      </c>
      <c r="H13" s="7" t="s">
        <v>193</v>
      </c>
      <c r="I13" s="9" t="s">
        <v>194</v>
      </c>
      <c r="J13" s="7" t="s">
        <v>195</v>
      </c>
      <c r="K13" s="7" t="s">
        <v>196</v>
      </c>
      <c r="L13" s="7" t="s">
        <v>197</v>
      </c>
      <c r="M13" s="10" t="s">
        <v>90</v>
      </c>
      <c r="N13" s="11" t="s">
        <v>198</v>
      </c>
      <c r="O13" s="7" t="s">
        <v>92</v>
      </c>
      <c r="P13" s="7" t="s">
        <v>93</v>
      </c>
      <c r="Q13" s="7" t="s">
        <v>94</v>
      </c>
      <c r="R13" s="7" t="s">
        <v>199</v>
      </c>
      <c r="S13" s="7" t="s">
        <v>200</v>
      </c>
      <c r="T13" s="7" t="s">
        <v>201</v>
      </c>
      <c r="U13" s="7" t="s">
        <v>98</v>
      </c>
      <c r="V13" s="7" t="s">
        <v>168</v>
      </c>
    </row>
  </sheetData>
  <pageMargins left="0.25" right="0.25" top="0.5" bottom="0.5" header="0.2" footer="0.2"/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5911"/>
    <pageSetUpPr fitToPage="1"/>
  </sheetPr>
  <dimension ref="A1:W10"/>
  <sheetViews>
    <sheetView workbookViewId="0" showGridLines="0" zoomScale="75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7" customWidth="1"/>
    <col min="3" max="3" width="15" customWidth="1"/>
    <col min="4" max="4" width="30" customWidth="1"/>
    <col min="5" max="5" width="46" customWidth="1"/>
    <col min="6" max="6" width="54" customWidth="1"/>
    <col min="7" max="7" width="52" customWidth="1"/>
    <col min="8" max="8" width="66" customWidth="1"/>
    <col min="9" max="9" width="46" customWidth="1"/>
    <col min="10" max="10" width="62" customWidth="1"/>
    <col min="11" max="11" width="20" customWidth="1"/>
    <col min="12" max="12" width="28" customWidth="1"/>
    <col min="13" max="13" width="10" customWidth="1"/>
    <col min="14" max="14" width="12" customWidth="1"/>
    <col min="15" max="15" width="25" customWidth="1"/>
    <col min="16" max="16" width="42" customWidth="1"/>
    <col min="17" max="17" width="54" customWidth="1"/>
    <col min="18" max="18" width="16" customWidth="1"/>
    <col min="19" max="19" width="48" customWidth="1"/>
    <col min="20" max="20" width="20" customWidth="1"/>
    <col min="21" max="21" width="18" customWidth="1"/>
    <col min="22" max="22" width="17" customWidth="1"/>
    <col min="23" max="23" width="40" customWidth="1"/>
  </cols>
  <sheetData>
    <row r="1" ht="30" customHeight="1" spans="1:23" s="12" customFormat="1" x14ac:dyDescent="0.25">
      <c r="A1" s="12" t="s">
        <v>59</v>
      </c>
      <c r="B1" s="12" t="s">
        <v>60</v>
      </c>
      <c r="C1" s="12" t="s">
        <v>61</v>
      </c>
      <c r="D1" s="12" t="s">
        <v>62</v>
      </c>
      <c r="E1" s="12" t="s">
        <v>63</v>
      </c>
      <c r="F1" s="12" t="s">
        <v>64</v>
      </c>
      <c r="G1" s="12" t="s">
        <v>65</v>
      </c>
      <c r="H1" s="12" t="s">
        <v>66</v>
      </c>
      <c r="I1" s="12" t="s">
        <v>202</v>
      </c>
      <c r="J1" s="12" t="s">
        <v>68</v>
      </c>
      <c r="K1" s="12" t="s">
        <v>203</v>
      </c>
      <c r="L1" s="12" t="s">
        <v>204</v>
      </c>
      <c r="M1" s="12" t="s">
        <v>71</v>
      </c>
      <c r="N1" s="12" t="s">
        <v>72</v>
      </c>
      <c r="O1" s="12" t="s">
        <v>205</v>
      </c>
      <c r="P1" s="12" t="s">
        <v>27</v>
      </c>
      <c r="Q1" s="12" t="s">
        <v>30</v>
      </c>
      <c r="R1" s="12" t="s">
        <v>206</v>
      </c>
      <c r="S1" s="12" t="s">
        <v>207</v>
      </c>
      <c r="T1" s="12" t="s">
        <v>208</v>
      </c>
      <c r="U1" s="12" t="s">
        <v>209</v>
      </c>
      <c r="V1" s="12" t="s">
        <v>210</v>
      </c>
      <c r="W1" s="12" t="s">
        <v>211</v>
      </c>
    </row>
    <row r="2" ht="76" customHeight="1" spans="1:23" s="7" customFormat="1" x14ac:dyDescent="0.25">
      <c r="A2" s="7">
        <v>1</v>
      </c>
      <c r="B2" s="8" t="s">
        <v>212</v>
      </c>
      <c r="C2" s="7" t="s">
        <v>80</v>
      </c>
      <c r="D2" s="7" t="s">
        <v>213</v>
      </c>
      <c r="E2" s="7" t="s">
        <v>214</v>
      </c>
      <c r="F2" s="7" t="s">
        <v>215</v>
      </c>
      <c r="G2" s="7" t="s">
        <v>216</v>
      </c>
      <c r="H2" s="7" t="s">
        <v>217</v>
      </c>
      <c r="I2" s="7" t="s">
        <v>218</v>
      </c>
      <c r="J2" s="7" t="s">
        <v>219</v>
      </c>
      <c r="K2" s="7" t="s">
        <v>220</v>
      </c>
      <c r="L2" s="7" t="s">
        <v>221</v>
      </c>
      <c r="M2" s="10" t="s">
        <v>90</v>
      </c>
      <c r="N2" s="7" t="s">
        <v>91</v>
      </c>
      <c r="O2" s="7" t="s">
        <v>222</v>
      </c>
      <c r="P2" s="7" t="s">
        <v>223</v>
      </c>
      <c r="Q2" s="7" t="s">
        <v>224</v>
      </c>
      <c r="R2" s="13" t="s">
        <v>225</v>
      </c>
      <c r="S2" s="13" t="s">
        <v>226</v>
      </c>
      <c r="T2" s="13" t="s">
        <v>226</v>
      </c>
      <c r="U2" s="13" t="s">
        <v>226</v>
      </c>
      <c r="V2" s="13" t="s">
        <v>226</v>
      </c>
      <c r="W2" s="13" t="s">
        <v>226</v>
      </c>
    </row>
    <row r="3" ht="76" customHeight="1" spans="1:23" s="7" customFormat="1" x14ac:dyDescent="0.25">
      <c r="A3" s="7">
        <v>2</v>
      </c>
      <c r="B3" s="8" t="s">
        <v>227</v>
      </c>
      <c r="C3" s="7" t="s">
        <v>80</v>
      </c>
      <c r="D3" s="7" t="s">
        <v>228</v>
      </c>
      <c r="E3" s="7" t="s">
        <v>229</v>
      </c>
      <c r="F3" s="7" t="s">
        <v>230</v>
      </c>
      <c r="G3" s="7" t="s">
        <v>231</v>
      </c>
      <c r="H3" s="7" t="s">
        <v>232</v>
      </c>
      <c r="I3" s="7" t="s">
        <v>233</v>
      </c>
      <c r="J3" s="7" t="s">
        <v>234</v>
      </c>
      <c r="K3" s="7" t="s">
        <v>235</v>
      </c>
      <c r="L3" s="7" t="s">
        <v>236</v>
      </c>
      <c r="M3" s="10" t="s">
        <v>90</v>
      </c>
      <c r="N3" s="7" t="s">
        <v>91</v>
      </c>
      <c r="O3" s="7" t="s">
        <v>237</v>
      </c>
      <c r="P3" s="7" t="s">
        <v>223</v>
      </c>
      <c r="Q3" s="7" t="s">
        <v>238</v>
      </c>
      <c r="R3" s="13" t="s">
        <v>225</v>
      </c>
      <c r="S3" s="13" t="s">
        <v>226</v>
      </c>
      <c r="T3" s="13" t="s">
        <v>226</v>
      </c>
      <c r="U3" s="13" t="s">
        <v>226</v>
      </c>
      <c r="V3" s="13" t="s">
        <v>226</v>
      </c>
      <c r="W3" s="13" t="s">
        <v>226</v>
      </c>
    </row>
    <row r="4" ht="76" customHeight="1" spans="1:23" s="7" customFormat="1" x14ac:dyDescent="0.25">
      <c r="A4" s="7">
        <v>3</v>
      </c>
      <c r="B4" s="8" t="s">
        <v>239</v>
      </c>
      <c r="C4" s="7" t="s">
        <v>80</v>
      </c>
      <c r="D4" s="7" t="s">
        <v>240</v>
      </c>
      <c r="E4" s="7" t="s">
        <v>241</v>
      </c>
      <c r="F4" s="7" t="s">
        <v>242</v>
      </c>
      <c r="G4" s="7" t="s">
        <v>243</v>
      </c>
      <c r="H4" s="7" t="s">
        <v>244</v>
      </c>
      <c r="I4" s="7" t="s">
        <v>245</v>
      </c>
      <c r="J4" s="7" t="s">
        <v>246</v>
      </c>
      <c r="K4" s="7" t="s">
        <v>247</v>
      </c>
      <c r="L4" s="7" t="s">
        <v>248</v>
      </c>
      <c r="M4" s="10" t="s">
        <v>90</v>
      </c>
      <c r="N4" s="11" t="s">
        <v>198</v>
      </c>
      <c r="O4" s="7" t="s">
        <v>249</v>
      </c>
      <c r="P4" s="7" t="s">
        <v>250</v>
      </c>
      <c r="Q4" s="7" t="s">
        <v>251</v>
      </c>
      <c r="R4" s="13" t="s">
        <v>225</v>
      </c>
      <c r="S4" s="13" t="s">
        <v>226</v>
      </c>
      <c r="T4" s="13" t="s">
        <v>226</v>
      </c>
      <c r="U4" s="13" t="s">
        <v>226</v>
      </c>
      <c r="V4" s="13" t="s">
        <v>226</v>
      </c>
      <c r="W4" s="13" t="s">
        <v>226</v>
      </c>
    </row>
    <row r="5" ht="76" customHeight="1" spans="1:23" s="7" customFormat="1" x14ac:dyDescent="0.25">
      <c r="A5" s="7">
        <v>4</v>
      </c>
      <c r="B5" s="8" t="s">
        <v>252</v>
      </c>
      <c r="C5" s="7" t="s">
        <v>80</v>
      </c>
      <c r="D5" s="7" t="s">
        <v>253</v>
      </c>
      <c r="E5" s="7" t="s">
        <v>254</v>
      </c>
      <c r="F5" s="7" t="s">
        <v>255</v>
      </c>
      <c r="G5" s="7" t="s">
        <v>256</v>
      </c>
      <c r="H5" s="7" t="s">
        <v>257</v>
      </c>
      <c r="I5" s="7" t="s">
        <v>258</v>
      </c>
      <c r="J5" s="7" t="s">
        <v>259</v>
      </c>
      <c r="K5" s="7" t="s">
        <v>247</v>
      </c>
      <c r="L5" s="7" t="s">
        <v>260</v>
      </c>
      <c r="M5" s="10" t="s">
        <v>90</v>
      </c>
      <c r="N5" s="11" t="s">
        <v>198</v>
      </c>
      <c r="O5" s="7" t="s">
        <v>237</v>
      </c>
      <c r="P5" s="7" t="s">
        <v>250</v>
      </c>
      <c r="Q5" s="7" t="s">
        <v>251</v>
      </c>
      <c r="R5" s="13" t="s">
        <v>225</v>
      </c>
      <c r="S5" s="13" t="s">
        <v>226</v>
      </c>
      <c r="T5" s="13" t="s">
        <v>226</v>
      </c>
      <c r="U5" s="13" t="s">
        <v>226</v>
      </c>
      <c r="V5" s="13" t="s">
        <v>226</v>
      </c>
      <c r="W5" s="13" t="s">
        <v>226</v>
      </c>
    </row>
    <row r="6" ht="76" customHeight="1" spans="1:23" s="7" customFormat="1" x14ac:dyDescent="0.25">
      <c r="A6" s="7">
        <v>5</v>
      </c>
      <c r="B6" s="8" t="s">
        <v>261</v>
      </c>
      <c r="C6" s="7" t="s">
        <v>80</v>
      </c>
      <c r="D6" s="7" t="s">
        <v>262</v>
      </c>
      <c r="E6" s="7" t="s">
        <v>263</v>
      </c>
      <c r="F6" s="7" t="s">
        <v>264</v>
      </c>
      <c r="G6" s="7" t="s">
        <v>265</v>
      </c>
      <c r="H6" s="7" t="s">
        <v>266</v>
      </c>
      <c r="I6" s="7" t="s">
        <v>267</v>
      </c>
      <c r="J6" s="7" t="s">
        <v>268</v>
      </c>
      <c r="K6" s="7" t="s">
        <v>247</v>
      </c>
      <c r="L6" s="7" t="s">
        <v>269</v>
      </c>
      <c r="M6" s="10" t="s">
        <v>90</v>
      </c>
      <c r="N6" s="7" t="s">
        <v>91</v>
      </c>
      <c r="O6" s="7" t="s">
        <v>237</v>
      </c>
      <c r="P6" s="7" t="s">
        <v>250</v>
      </c>
      <c r="Q6" s="7" t="s">
        <v>251</v>
      </c>
      <c r="R6" s="13" t="s">
        <v>225</v>
      </c>
      <c r="S6" s="13" t="s">
        <v>226</v>
      </c>
      <c r="T6" s="13" t="s">
        <v>226</v>
      </c>
      <c r="U6" s="13" t="s">
        <v>226</v>
      </c>
      <c r="V6" s="13" t="s">
        <v>226</v>
      </c>
      <c r="W6" s="13" t="s">
        <v>226</v>
      </c>
    </row>
    <row r="7" ht="76" customHeight="1" spans="1:23" s="7" customFormat="1" x14ac:dyDescent="0.25">
      <c r="A7" s="7">
        <v>6</v>
      </c>
      <c r="B7" s="8" t="s">
        <v>270</v>
      </c>
      <c r="C7" s="7" t="s">
        <v>80</v>
      </c>
      <c r="D7" s="7" t="s">
        <v>271</v>
      </c>
      <c r="E7" s="7" t="s">
        <v>272</v>
      </c>
      <c r="F7" s="7" t="s">
        <v>273</v>
      </c>
      <c r="G7" s="7" t="s">
        <v>274</v>
      </c>
      <c r="H7" s="7" t="s">
        <v>275</v>
      </c>
      <c r="I7" s="7" t="s">
        <v>276</v>
      </c>
      <c r="J7" s="7" t="s">
        <v>277</v>
      </c>
      <c r="K7" s="7" t="s">
        <v>278</v>
      </c>
      <c r="L7" s="7" t="s">
        <v>279</v>
      </c>
      <c r="M7" s="10" t="s">
        <v>90</v>
      </c>
      <c r="N7" s="7" t="s">
        <v>91</v>
      </c>
      <c r="O7" s="7" t="s">
        <v>249</v>
      </c>
      <c r="P7" s="7" t="s">
        <v>280</v>
      </c>
      <c r="Q7" s="7" t="s">
        <v>281</v>
      </c>
      <c r="R7" s="13" t="s">
        <v>225</v>
      </c>
      <c r="S7" s="13" t="s">
        <v>226</v>
      </c>
      <c r="T7" s="13" t="s">
        <v>226</v>
      </c>
      <c r="U7" s="13" t="s">
        <v>226</v>
      </c>
      <c r="V7" s="13" t="s">
        <v>226</v>
      </c>
      <c r="W7" s="13" t="s">
        <v>226</v>
      </c>
    </row>
    <row r="8" ht="76" customHeight="1" spans="1:23" s="7" customFormat="1" x14ac:dyDescent="0.25">
      <c r="A8" s="7">
        <v>7</v>
      </c>
      <c r="B8" s="8" t="s">
        <v>282</v>
      </c>
      <c r="C8" s="7" t="s">
        <v>80</v>
      </c>
      <c r="D8" s="7" t="s">
        <v>283</v>
      </c>
      <c r="E8" s="7" t="s">
        <v>284</v>
      </c>
      <c r="F8" s="7" t="s">
        <v>285</v>
      </c>
      <c r="G8" s="7" t="s">
        <v>286</v>
      </c>
      <c r="H8" s="7" t="s">
        <v>287</v>
      </c>
      <c r="I8" s="7" t="s">
        <v>288</v>
      </c>
      <c r="J8" s="7" t="s">
        <v>289</v>
      </c>
      <c r="K8" s="7" t="s">
        <v>290</v>
      </c>
      <c r="L8" s="7" t="s">
        <v>291</v>
      </c>
      <c r="M8" s="10" t="s">
        <v>90</v>
      </c>
      <c r="N8" s="7" t="s">
        <v>91</v>
      </c>
      <c r="O8" s="7" t="s">
        <v>237</v>
      </c>
      <c r="P8" s="7" t="s">
        <v>292</v>
      </c>
      <c r="Q8" s="7" t="s">
        <v>293</v>
      </c>
      <c r="R8" s="13" t="s">
        <v>225</v>
      </c>
      <c r="S8" s="13" t="s">
        <v>226</v>
      </c>
      <c r="T8" s="13" t="s">
        <v>226</v>
      </c>
      <c r="U8" s="13" t="s">
        <v>226</v>
      </c>
      <c r="V8" s="13" t="s">
        <v>226</v>
      </c>
      <c r="W8" s="13" t="s">
        <v>226</v>
      </c>
    </row>
    <row r="9" ht="76" customHeight="1" spans="1:23" s="7" customFormat="1" x14ac:dyDescent="0.25">
      <c r="A9" s="7">
        <v>8</v>
      </c>
      <c r="B9" s="8" t="s">
        <v>294</v>
      </c>
      <c r="C9" s="7" t="s">
        <v>80</v>
      </c>
      <c r="D9" s="7" t="s">
        <v>295</v>
      </c>
      <c r="E9" s="7" t="s">
        <v>296</v>
      </c>
      <c r="F9" s="7" t="s">
        <v>297</v>
      </c>
      <c r="G9" s="7" t="s">
        <v>298</v>
      </c>
      <c r="H9" s="7" t="s">
        <v>299</v>
      </c>
      <c r="I9" s="7" t="s">
        <v>300</v>
      </c>
      <c r="J9" s="7" t="s">
        <v>301</v>
      </c>
      <c r="K9" s="7" t="s">
        <v>302</v>
      </c>
      <c r="L9" s="7" t="s">
        <v>303</v>
      </c>
      <c r="M9" s="10" t="s">
        <v>90</v>
      </c>
      <c r="N9" s="7" t="s">
        <v>91</v>
      </c>
      <c r="O9" s="7" t="s">
        <v>237</v>
      </c>
      <c r="P9" s="7" t="s">
        <v>250</v>
      </c>
      <c r="Q9" s="7" t="s">
        <v>304</v>
      </c>
      <c r="R9" s="13" t="s">
        <v>225</v>
      </c>
      <c r="S9" s="13" t="s">
        <v>226</v>
      </c>
      <c r="T9" s="13" t="s">
        <v>226</v>
      </c>
      <c r="U9" s="13" t="s">
        <v>226</v>
      </c>
      <c r="V9" s="13" t="s">
        <v>226</v>
      </c>
      <c r="W9" s="13" t="s">
        <v>226</v>
      </c>
    </row>
    <row r="10" ht="76" customHeight="1" spans="1:23" s="7" customFormat="1" x14ac:dyDescent="0.25">
      <c r="A10" s="7">
        <v>9</v>
      </c>
      <c r="B10" s="8" t="s">
        <v>305</v>
      </c>
      <c r="C10" s="7" t="s">
        <v>80</v>
      </c>
      <c r="D10" s="7" t="s">
        <v>306</v>
      </c>
      <c r="E10" s="7" t="s">
        <v>307</v>
      </c>
      <c r="F10" s="7" t="s">
        <v>308</v>
      </c>
      <c r="G10" s="7" t="s">
        <v>309</v>
      </c>
      <c r="H10" s="7" t="s">
        <v>310</v>
      </c>
      <c r="I10" s="7" t="s">
        <v>311</v>
      </c>
      <c r="J10" s="7" t="s">
        <v>312</v>
      </c>
      <c r="K10" s="7" t="s">
        <v>313</v>
      </c>
      <c r="L10" s="7" t="s">
        <v>314</v>
      </c>
      <c r="M10" s="14" t="s">
        <v>315</v>
      </c>
      <c r="N10" s="7" t="s">
        <v>316</v>
      </c>
      <c r="O10" s="7" t="s">
        <v>317</v>
      </c>
      <c r="P10" s="7" t="s">
        <v>318</v>
      </c>
      <c r="Q10" s="7" t="s">
        <v>319</v>
      </c>
      <c r="R10" s="13" t="s">
        <v>225</v>
      </c>
      <c r="S10" s="13" t="s">
        <v>226</v>
      </c>
      <c r="T10" s="13" t="s">
        <v>226</v>
      </c>
      <c r="U10" s="13" t="s">
        <v>226</v>
      </c>
      <c r="V10" s="13" t="s">
        <v>226</v>
      </c>
      <c r="W10" s="13" t="s">
        <v>226</v>
      </c>
    </row>
  </sheetData>
  <dataValidations count="2">
    <dataValidation type="list" sqref="R10">
      <formula1>"Not Run,Pass,Fail,Blocked,Not Applicable"</formula1>
    </dataValidation>
    <dataValidation type="list" sqref="R2:R10">
      <formula1>"Not Run,Pass,Fail,Blocked,Not Applicable"</formula1>
    </dataValidation>
  </dataValidations>
  <pageMargins left="0.25" right="0.25" top="0.5" bottom="0.5" header="0.2" footer="0.2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  <pageSetUpPr fitToPage="1"/>
  </sheetPr>
  <dimension ref="A1:D3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14" customWidth="1"/>
    <col min="4" max="4" width="72" customWidth="1"/>
  </cols>
  <sheetData>
    <row r="1" ht="32" customHeight="1" spans="1:4" x14ac:dyDescent="0.25">
      <c r="A1" s="15" t="s">
        <v>320</v>
      </c>
      <c r="B1" s="15"/>
      <c r="C1" s="15"/>
      <c r="D1" s="15"/>
    </row>
    <row r="2" spans="1:4" x14ac:dyDescent="0.25">
      <c r="A2" s="16" t="s">
        <v>321</v>
      </c>
      <c r="B2" s="16"/>
      <c r="C2" s="16"/>
      <c r="D2" s="16"/>
    </row>
    <row r="3" spans="1:4" x14ac:dyDescent="0.25"/>
    <row r="4" ht="30" customHeight="1" spans="1:4" s="17" customFormat="1" x14ac:dyDescent="0.25">
      <c r="A4" s="17" t="s">
        <v>322</v>
      </c>
      <c r="B4" s="17" t="s">
        <v>323</v>
      </c>
      <c r="C4" s="17" t="s">
        <v>324</v>
      </c>
      <c r="D4" s="17" t="s">
        <v>325</v>
      </c>
    </row>
    <row r="5" ht="27" customHeight="1" spans="1:4" s="18" customFormat="1" x14ac:dyDescent="0.25">
      <c r="A5" s="19" t="s">
        <v>326</v>
      </c>
      <c r="B5" s="20" t="s">
        <v>327</v>
      </c>
      <c r="C5" s="21">
        <f>ROWS(Product TourAutomatedCases[Test Case ID])</f>
        <v>12</v>
      </c>
      <c r="D5" s="20" t="s">
        <v>328</v>
      </c>
    </row>
    <row r="6" ht="27" customHeight="1" spans="1:4" s="18" customFormat="1" x14ac:dyDescent="0.25">
      <c r="A6" s="19" t="s">
        <v>326</v>
      </c>
      <c r="B6" s="20" t="s">
        <v>329</v>
      </c>
      <c r="C6" s="21">
        <f>ROWS(Product TourManualUiUxCases[Test Case ID])</f>
        <v>9</v>
      </c>
      <c r="D6" s="20" t="s">
        <v>330</v>
      </c>
    </row>
    <row r="7" ht="27" customHeight="1" spans="1:4" s="18" customFormat="1" x14ac:dyDescent="0.25">
      <c r="A7" s="19" t="s">
        <v>326</v>
      </c>
      <c r="B7" s="20" t="s">
        <v>331</v>
      </c>
      <c r="C7" s="21">
        <f>ROWS(Product TourAutomatedCases[Test Case ID])+ROWS(Product TourManualUiUxCases[Test Case ID])</f>
        <v>21</v>
      </c>
      <c r="D7" s="20" t="s">
        <v>332</v>
      </c>
    </row>
    <row r="8" ht="27" customHeight="1" spans="1:4" s="18" customFormat="1" x14ac:dyDescent="0.25">
      <c r="A8" s="19" t="s">
        <v>333</v>
      </c>
      <c r="B8" s="20" t="s">
        <v>334</v>
      </c>
      <c r="C8" s="21">
        <f>COUNTIF(Product TourAutomatedCases[Write Operation],"YES")</f>
        <v>0</v>
      </c>
      <c r="D8" s="20" t="s">
        <v>335</v>
      </c>
    </row>
    <row r="9" ht="27" customHeight="1" spans="1:4" s="18" customFormat="1" x14ac:dyDescent="0.25">
      <c r="A9" s="19" t="s">
        <v>20</v>
      </c>
      <c r="B9" s="20" t="s">
        <v>225</v>
      </c>
      <c r="C9" s="21">
        <f>COUNTIF(Product TourManualUiUxCases[Status],"Not Run")</f>
        <v>9</v>
      </c>
      <c r="D9" s="20" t="s">
        <v>336</v>
      </c>
    </row>
    <row r="10" ht="27" customHeight="1" spans="1:4" s="18" customFormat="1" x14ac:dyDescent="0.25">
      <c r="A10" s="19" t="s">
        <v>20</v>
      </c>
      <c r="B10" s="20" t="s">
        <v>337</v>
      </c>
      <c r="C10" s="21">
        <f>COUNTIF(Product TourManualUiUxCases[Status],"Pass")</f>
        <v>0</v>
      </c>
      <c r="D10" s="20" t="s">
        <v>338</v>
      </c>
    </row>
    <row r="11" ht="27" customHeight="1" spans="1:4" s="18" customFormat="1" x14ac:dyDescent="0.25">
      <c r="A11" s="19" t="s">
        <v>20</v>
      </c>
      <c r="B11" s="20" t="s">
        <v>339</v>
      </c>
      <c r="C11" s="21">
        <f>COUNTIF(Product TourManualUiUxCases[Status],"Fail")</f>
        <v>0</v>
      </c>
      <c r="D11" s="20" t="s">
        <v>340</v>
      </c>
    </row>
    <row r="12" ht="27" customHeight="1" spans="1:4" s="18" customFormat="1" x14ac:dyDescent="0.25">
      <c r="A12" s="19" t="s">
        <v>71</v>
      </c>
      <c r="B12" s="20" t="s">
        <v>90</v>
      </c>
      <c r="C12" s="21">
        <f>COUNTIF(Product TourAutomatedCases[Priority],"P1")+COUNTIF(Product TourManualUiUxCases[Priority],"P1")</f>
        <v>20</v>
      </c>
      <c r="D12" s="20" t="s">
        <v>341</v>
      </c>
    </row>
    <row r="13" ht="27" customHeight="1" spans="1:4" s="18" customFormat="1" x14ac:dyDescent="0.25">
      <c r="A13" s="19" t="s">
        <v>71</v>
      </c>
      <c r="B13" s="20" t="s">
        <v>315</v>
      </c>
      <c r="C13" s="21">
        <f>COUNTIF(Product TourAutomatedCases[Priority],"P2")+COUNTIF(Product TourManualUiUxCases[Priority],"P2")</f>
        <v>1</v>
      </c>
      <c r="D13" s="20" t="s">
        <v>342</v>
      </c>
    </row>
    <row r="14" ht="27" customHeight="1" spans="1:4" s="18" customFormat="1" x14ac:dyDescent="0.25">
      <c r="A14" s="19" t="s">
        <v>72</v>
      </c>
      <c r="B14" s="20" t="s">
        <v>198</v>
      </c>
      <c r="C14" s="21">
        <f>COUNTIF(Product TourAutomatedCases[Severity],"Critical")+COUNTIF(Product TourManualUiUxCases[Severity],"Critical")</f>
        <v>3</v>
      </c>
      <c r="D14" s="20" t="s">
        <v>343</v>
      </c>
    </row>
    <row r="15" ht="27" customHeight="1" spans="1:4" s="18" customFormat="1" x14ac:dyDescent="0.25">
      <c r="A15" s="19" t="s">
        <v>72</v>
      </c>
      <c r="B15" s="20" t="s">
        <v>91</v>
      </c>
      <c r="C15" s="21">
        <f>COUNTIF(Product TourAutomatedCases[Severity],"Major")+COUNTIF(Product TourManualUiUxCases[Severity],"Major")</f>
        <v>17</v>
      </c>
      <c r="D15" s="20" t="s">
        <v>344</v>
      </c>
    </row>
    <row r="16" ht="27" customHeight="1" spans="1:4" s="18" customFormat="1" x14ac:dyDescent="0.25">
      <c r="A16" s="19" t="s">
        <v>72</v>
      </c>
      <c r="B16" s="20" t="s">
        <v>316</v>
      </c>
      <c r="C16" s="21">
        <f>COUNTIF(Product TourAutomatedCases[Severity],"Minor")+COUNTIF(Product TourManualUiUxCases[Severity],"Minor")</f>
        <v>1</v>
      </c>
      <c r="D16" s="20" t="s">
        <v>345</v>
      </c>
    </row>
    <row r="17" ht="27" customHeight="1" spans="1:4" s="18" customFormat="1" x14ac:dyDescent="0.25">
      <c r="A17" s="19" t="s">
        <v>346</v>
      </c>
      <c r="B17" s="20" t="s">
        <v>88</v>
      </c>
      <c r="C17" s="21">
        <f>COUNTIF(Product TourAutomatedCases[Execution Tags],"*@functional*")+COUNTIF(Product TourManualUiUxCases[Execution Tags],"*@functional*")</f>
        <v>12</v>
      </c>
      <c r="D17" s="20" t="s">
        <v>347</v>
      </c>
    </row>
    <row r="18" ht="27" customHeight="1" spans="1:4" s="18" customFormat="1" x14ac:dyDescent="0.25">
      <c r="A18" s="19" t="s">
        <v>346</v>
      </c>
      <c r="B18" s="20" t="s">
        <v>348</v>
      </c>
      <c r="C18" s="21">
        <f>COUNTIF(Product TourAutomatedCases[Execution Tags],"*@non-functional*")+COUNTIF(Product TourManualUiUxCases[Execution Tags],"*@non-functional*")</f>
        <v>10</v>
      </c>
      <c r="D18" s="20" t="s">
        <v>349</v>
      </c>
    </row>
    <row r="19" ht="27" customHeight="1" spans="1:4" s="18" customFormat="1" x14ac:dyDescent="0.25">
      <c r="A19" s="19" t="s">
        <v>346</v>
      </c>
      <c r="B19" s="20" t="s">
        <v>350</v>
      </c>
      <c r="C19" s="21">
        <f>COUNTIF(Product TourAutomatedCases[Execution Tags],"*@smoke*")+COUNTIF(Product TourManualUiUxCases[Execution Tags],"*@smoke*")</f>
        <v>1</v>
      </c>
      <c r="D19" s="20" t="s">
        <v>351</v>
      </c>
    </row>
    <row r="20" ht="27" customHeight="1" spans="1:4" s="18" customFormat="1" x14ac:dyDescent="0.25">
      <c r="A20" s="19" t="s">
        <v>346</v>
      </c>
      <c r="B20" s="20" t="s">
        <v>352</v>
      </c>
      <c r="C20" s="21">
        <f>COUNTIF(Product TourAutomatedCases[Execution Tags],"*@prod-smoke*")+COUNTIF(Product TourManualUiUxCases[Execution Tags],"*@prod-smoke*")</f>
        <v>1</v>
      </c>
      <c r="D20" s="20" t="s">
        <v>353</v>
      </c>
    </row>
    <row r="21" ht="27" customHeight="1" spans="1:4" s="18" customFormat="1" x14ac:dyDescent="0.25">
      <c r="A21" s="19" t="s">
        <v>346</v>
      </c>
      <c r="B21" s="20" t="s">
        <v>354</v>
      </c>
      <c r="C21" s="21">
        <f>COUNTIF(Product TourAutomatedCases[Execution Tags],"*@sanity*")+COUNTIF(Product TourManualUiUxCases[Execution Tags],"*@sanity*")</f>
        <v>2</v>
      </c>
      <c r="D21" s="20" t="s">
        <v>355</v>
      </c>
    </row>
    <row r="22" ht="27" customHeight="1" spans="1:4" s="18" customFormat="1" x14ac:dyDescent="0.25">
      <c r="A22" s="19" t="s">
        <v>346</v>
      </c>
      <c r="B22" s="20" t="s">
        <v>356</v>
      </c>
      <c r="C22" s="21">
        <f>COUNTIF(Product TourAutomatedCases[Execution Tags],"*@regression*")+COUNTIF(Product TourManualUiUxCases[Execution Tags],"*@regression*")</f>
        <v>21</v>
      </c>
      <c r="D22" s="20" t="s">
        <v>357</v>
      </c>
    </row>
    <row r="23" ht="27" customHeight="1" spans="1:4" s="18" customFormat="1" x14ac:dyDescent="0.25">
      <c r="A23" s="19" t="s">
        <v>346</v>
      </c>
      <c r="B23" s="20" t="s">
        <v>358</v>
      </c>
      <c r="C23" s="21">
        <f>COUNTIF(Product TourAutomatedCases[Execution Tags],"*@e2e*")+COUNTIF(Product TourManualUiUxCases[Execution Tags],"*@e2e*")</f>
        <v>7</v>
      </c>
      <c r="D23" s="20" t="s">
        <v>359</v>
      </c>
    </row>
    <row r="24" ht="27" customHeight="1" spans="1:4" s="18" customFormat="1" x14ac:dyDescent="0.25">
      <c r="A24" s="19" t="s">
        <v>346</v>
      </c>
      <c r="B24" s="20" t="s">
        <v>196</v>
      </c>
      <c r="C24" s="21">
        <f>COUNTIF(Product TourAutomatedCases[Execution Tags],"*@security*")+COUNTIF(Product TourManualUiUxCases[Execution Tags],"*@security*")</f>
        <v>1</v>
      </c>
      <c r="D24" s="20" t="s">
        <v>360</v>
      </c>
    </row>
    <row r="25" ht="27" customHeight="1" spans="1:4" s="18" customFormat="1" x14ac:dyDescent="0.25">
      <c r="A25" s="19" t="s">
        <v>346</v>
      </c>
      <c r="B25" s="20" t="s">
        <v>247</v>
      </c>
      <c r="C25" s="21">
        <f>COUNTIF(Product TourAutomatedCases[Execution Tags],"*@a11y*")+COUNTIF(Product TourManualUiUxCases[Execution Tags],"*@a11y*")</f>
        <v>5</v>
      </c>
      <c r="D25" s="20" t="s">
        <v>361</v>
      </c>
    </row>
    <row r="26" ht="27" customHeight="1" spans="1:4" s="18" customFormat="1" x14ac:dyDescent="0.25">
      <c r="A26" s="19" t="s">
        <v>346</v>
      </c>
      <c r="B26" s="20" t="s">
        <v>362</v>
      </c>
      <c r="C26" s="21">
        <f>COUNTIF(Product TourAutomatedCases[Execution Tags],"*@responsive*")+COUNTIF(Product TourManualUiUxCases[Execution Tags],"*@responsive*")</f>
        <v>2</v>
      </c>
      <c r="D26" s="20" t="s">
        <v>363</v>
      </c>
    </row>
    <row r="27" ht="27" customHeight="1" spans="1:4" s="18" customFormat="1" x14ac:dyDescent="0.25">
      <c r="A27" s="19" t="s">
        <v>346</v>
      </c>
      <c r="B27" s="20" t="s">
        <v>364</v>
      </c>
      <c r="C27" s="21">
        <f>COUNTIF(Product TourAutomatedCases[Execution Tags],"*@performance*")+COUNTIF(Product TourManualUiUxCases[Execution Tags],"*@performance*")</f>
        <v>1</v>
      </c>
      <c r="D27" s="20" t="s">
        <v>365</v>
      </c>
    </row>
    <row r="28" ht="27" customHeight="1" spans="1:4" s="18" customFormat="1" x14ac:dyDescent="0.25">
      <c r="A28" s="19" t="s">
        <v>346</v>
      </c>
      <c r="B28" s="20" t="s">
        <v>366</v>
      </c>
      <c r="C28" s="21">
        <f>COUNTIF(Product TourAutomatedCases[Execution Tags],"*@uat*")+COUNTIF(Product TourManualUiUxCases[Execution Tags],"*@uat*")</f>
        <v>2</v>
      </c>
      <c r="D28" s="20" t="s">
        <v>367</v>
      </c>
    </row>
    <row r="29" ht="27" customHeight="1" spans="1:4" s="18" customFormat="1" x14ac:dyDescent="0.25">
      <c r="A29" s="19" t="s">
        <v>346</v>
      </c>
      <c r="B29" s="20" t="s">
        <v>38</v>
      </c>
      <c r="C29" s="21">
        <f>COUNTIF(Product TourAutomatedCases[Execution Tags],"*@retest*")+COUNTIF(Product TourManualUiUxCases[Execution Tags],"*@retest*")</f>
        <v>0</v>
      </c>
      <c r="D29" s="20" t="s">
        <v>368</v>
      </c>
    </row>
    <row r="30" ht="27" customHeight="1" spans="1:4" s="18" customFormat="1" x14ac:dyDescent="0.25">
      <c r="A30" s="19" t="s">
        <v>369</v>
      </c>
      <c r="B30" s="20" t="s">
        <v>247</v>
      </c>
      <c r="C30" s="21">
        <f>COUNTIF(Product TourManualUiUxCases[UX Category],"Accessibility")</f>
        <v>3</v>
      </c>
      <c r="D30" s="20" t="s">
        <v>370</v>
      </c>
    </row>
    <row r="31" ht="27" customHeight="1" spans="1:4" s="18" customFormat="1" x14ac:dyDescent="0.25">
      <c r="A31" s="19" t="s">
        <v>369</v>
      </c>
      <c r="B31" s="20" t="s">
        <v>290</v>
      </c>
      <c r="C31" s="21">
        <f>COUNTIF(Product TourManualUiUxCases[UX Category],"Accessibility and responsive design")</f>
        <v>1</v>
      </c>
      <c r="D31" s="20" t="s">
        <v>371</v>
      </c>
    </row>
    <row r="32" ht="27" customHeight="1" spans="1:4" s="18" customFormat="1" x14ac:dyDescent="0.25">
      <c r="A32" s="19" t="s">
        <v>369</v>
      </c>
      <c r="B32" s="20" t="s">
        <v>302</v>
      </c>
      <c r="C32" s="21">
        <f>COUNTIF(Product TourManualUiUxCases[UX Category],"Accessibility and visual quality")</f>
        <v>1</v>
      </c>
      <c r="D32" s="20" t="s">
        <v>372</v>
      </c>
    </row>
    <row r="33" ht="27" customHeight="1" spans="1:4" s="18" customFormat="1" x14ac:dyDescent="0.25">
      <c r="A33" s="19" t="s">
        <v>369</v>
      </c>
      <c r="B33" s="20" t="s">
        <v>313</v>
      </c>
      <c r="C33" s="21">
        <f>COUNTIF(Product TourManualUiUxCases[UX Category],"Motion and performance")</f>
        <v>1</v>
      </c>
      <c r="D33" s="20" t="s">
        <v>373</v>
      </c>
    </row>
    <row r="34" ht="27" customHeight="1" spans="1:4" s="18" customFormat="1" x14ac:dyDescent="0.25">
      <c r="A34" s="19" t="s">
        <v>369</v>
      </c>
      <c r="B34" s="20" t="s">
        <v>278</v>
      </c>
      <c r="C34" s="21">
        <f>COUNTIF(Product TourManualUiUxCases[UX Category],"Responsive design")</f>
        <v>1</v>
      </c>
      <c r="D34" s="20" t="s">
        <v>374</v>
      </c>
    </row>
    <row r="35" ht="27" customHeight="1" spans="1:4" s="18" customFormat="1" x14ac:dyDescent="0.25">
      <c r="A35" s="19" t="s">
        <v>369</v>
      </c>
      <c r="B35" s="20" t="s">
        <v>220</v>
      </c>
      <c r="C35" s="21">
        <f>COUNTIF(Product TourManualUiUxCases[UX Category],"Usability")</f>
        <v>1</v>
      </c>
      <c r="D35" s="20" t="s">
        <v>375</v>
      </c>
    </row>
    <row r="36" ht="27" customHeight="1" spans="1:4" s="18" customFormat="1" x14ac:dyDescent="0.25">
      <c r="A36" s="19" t="s">
        <v>369</v>
      </c>
      <c r="B36" s="20" t="s">
        <v>235</v>
      </c>
      <c r="C36" s="21">
        <f>COUNTIF(Product TourManualUiUxCases[UX Category],"Visual quality")</f>
        <v>1</v>
      </c>
      <c r="D36" s="20" t="s">
        <v>376</v>
      </c>
    </row>
  </sheetData>
  <autoFilter ref="A4:D36"/>
  <mergeCells count="2">
    <mergeCell ref="A1:D1"/>
    <mergeCell ref="A2:D2"/>
  </mergeCells>
  <pageMargins left="0.25" right="0.25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6B78"/>
    <pageSetUpPr fitToPage="1"/>
  </sheetPr>
  <dimension ref="A1:F2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3" customWidth="1"/>
    <col min="3" max="3" width="25" customWidth="1"/>
    <col min="4" max="4" width="12" customWidth="1"/>
    <col min="5" max="5" width="78" customWidth="1"/>
    <col min="6" max="6" width="48" customWidth="1"/>
  </cols>
  <sheetData>
    <row r="1" ht="30" customHeight="1" spans="1:6" s="22" customFormat="1" x14ac:dyDescent="0.25">
      <c r="A1" s="22" t="s">
        <v>377</v>
      </c>
      <c r="B1" s="22" t="s">
        <v>378</v>
      </c>
      <c r="C1" s="22" t="s">
        <v>379</v>
      </c>
      <c r="D1" s="22" t="s">
        <v>380</v>
      </c>
      <c r="E1" s="22" t="s">
        <v>381</v>
      </c>
      <c r="F1" s="22" t="s">
        <v>382</v>
      </c>
    </row>
    <row r="2" ht="42" customHeight="1" spans="1:6" s="4" customFormat="1" x14ac:dyDescent="0.25">
      <c r="A2" s="8" t="s">
        <v>60</v>
      </c>
      <c r="B2" s="4" t="s">
        <v>29</v>
      </c>
      <c r="C2" s="4" t="s">
        <v>383</v>
      </c>
      <c r="D2" s="4" t="s">
        <v>384</v>
      </c>
      <c r="E2" s="4" t="s">
        <v>385</v>
      </c>
      <c r="F2" s="4" t="s">
        <v>386</v>
      </c>
    </row>
    <row r="3" ht="42" customHeight="1" spans="1:6" s="4" customFormat="1" x14ac:dyDescent="0.25">
      <c r="A3" s="8" t="s">
        <v>62</v>
      </c>
      <c r="B3" s="4" t="s">
        <v>29</v>
      </c>
      <c r="C3" s="4" t="s">
        <v>383</v>
      </c>
      <c r="D3" s="4" t="s">
        <v>384</v>
      </c>
      <c r="E3" s="4" t="s">
        <v>387</v>
      </c>
      <c r="F3" s="4" t="s">
        <v>388</v>
      </c>
    </row>
    <row r="4" ht="42" customHeight="1" spans="1:6" s="4" customFormat="1" x14ac:dyDescent="0.25">
      <c r="A4" s="8" t="s">
        <v>64</v>
      </c>
      <c r="B4" s="4" t="s">
        <v>29</v>
      </c>
      <c r="C4" s="4" t="s">
        <v>383</v>
      </c>
      <c r="D4" s="4" t="s">
        <v>384</v>
      </c>
      <c r="E4" s="4" t="s">
        <v>389</v>
      </c>
      <c r="F4" s="4" t="s">
        <v>390</v>
      </c>
    </row>
    <row r="5" ht="42" customHeight="1" spans="1:6" s="4" customFormat="1" x14ac:dyDescent="0.25">
      <c r="A5" s="8" t="s">
        <v>65</v>
      </c>
      <c r="B5" s="4" t="s">
        <v>29</v>
      </c>
      <c r="C5" s="4" t="s">
        <v>383</v>
      </c>
      <c r="D5" s="4" t="s">
        <v>384</v>
      </c>
      <c r="E5" s="4" t="s">
        <v>391</v>
      </c>
      <c r="F5" s="4" t="s">
        <v>392</v>
      </c>
    </row>
    <row r="6" ht="42" customHeight="1" spans="1:6" s="4" customFormat="1" x14ac:dyDescent="0.25">
      <c r="A6" s="8" t="s">
        <v>66</v>
      </c>
      <c r="B6" s="4" t="s">
        <v>29</v>
      </c>
      <c r="C6" s="4" t="s">
        <v>383</v>
      </c>
      <c r="D6" s="4" t="s">
        <v>384</v>
      </c>
      <c r="E6" s="4" t="s">
        <v>393</v>
      </c>
      <c r="F6" s="4" t="s">
        <v>394</v>
      </c>
    </row>
    <row r="7" ht="42" customHeight="1" spans="1:6" s="4" customFormat="1" x14ac:dyDescent="0.25">
      <c r="A7" s="8" t="s">
        <v>67</v>
      </c>
      <c r="B7" s="4" t="s">
        <v>14</v>
      </c>
      <c r="C7" s="4" t="s">
        <v>383</v>
      </c>
      <c r="D7" s="4" t="s">
        <v>384</v>
      </c>
      <c r="E7" s="4" t="s">
        <v>395</v>
      </c>
      <c r="F7" s="4" t="s">
        <v>396</v>
      </c>
    </row>
    <row r="8" ht="42" customHeight="1" spans="1:6" s="4" customFormat="1" x14ac:dyDescent="0.25">
      <c r="A8" s="8" t="s">
        <v>202</v>
      </c>
      <c r="B8" s="4" t="s">
        <v>397</v>
      </c>
      <c r="C8" s="4" t="s">
        <v>383</v>
      </c>
      <c r="D8" s="4" t="s">
        <v>384</v>
      </c>
      <c r="E8" s="4" t="s">
        <v>398</v>
      </c>
      <c r="F8" s="4" t="s">
        <v>399</v>
      </c>
    </row>
    <row r="9" ht="42" customHeight="1" spans="1:6" s="4" customFormat="1" x14ac:dyDescent="0.25">
      <c r="A9" s="8" t="s">
        <v>68</v>
      </c>
      <c r="B9" s="4" t="s">
        <v>29</v>
      </c>
      <c r="C9" s="4" t="s">
        <v>383</v>
      </c>
      <c r="D9" s="4" t="s">
        <v>384</v>
      </c>
      <c r="E9" s="4" t="s">
        <v>400</v>
      </c>
      <c r="F9" s="4" t="s">
        <v>401</v>
      </c>
    </row>
    <row r="10" ht="42" customHeight="1" spans="1:6" s="4" customFormat="1" x14ac:dyDescent="0.25">
      <c r="A10" s="8" t="s">
        <v>402</v>
      </c>
      <c r="B10" s="4" t="s">
        <v>29</v>
      </c>
      <c r="C10" s="4" t="s">
        <v>383</v>
      </c>
      <c r="D10" s="4" t="s">
        <v>384</v>
      </c>
      <c r="E10" s="4" t="s">
        <v>403</v>
      </c>
      <c r="F10" s="4" t="s">
        <v>247</v>
      </c>
    </row>
    <row r="11" ht="42" customHeight="1" spans="1:6" s="4" customFormat="1" x14ac:dyDescent="0.25">
      <c r="A11" s="8" t="s">
        <v>204</v>
      </c>
      <c r="B11" s="4" t="s">
        <v>397</v>
      </c>
      <c r="C11" s="4" t="s">
        <v>383</v>
      </c>
      <c r="D11" s="4" t="s">
        <v>384</v>
      </c>
      <c r="E11" s="4" t="s">
        <v>404</v>
      </c>
      <c r="F11" s="4" t="s">
        <v>405</v>
      </c>
    </row>
    <row r="12" ht="42" customHeight="1" spans="1:6" s="4" customFormat="1" x14ac:dyDescent="0.25">
      <c r="A12" s="8" t="s">
        <v>71</v>
      </c>
      <c r="B12" s="4" t="s">
        <v>29</v>
      </c>
      <c r="C12" s="4" t="s">
        <v>383</v>
      </c>
      <c r="D12" s="4" t="s">
        <v>384</v>
      </c>
      <c r="E12" s="4" t="s">
        <v>406</v>
      </c>
      <c r="F12" s="4" t="s">
        <v>90</v>
      </c>
    </row>
    <row r="13" ht="42" customHeight="1" spans="1:6" s="4" customFormat="1" x14ac:dyDescent="0.25">
      <c r="A13" s="8" t="s">
        <v>72</v>
      </c>
      <c r="B13" s="4" t="s">
        <v>29</v>
      </c>
      <c r="C13" s="4" t="s">
        <v>383</v>
      </c>
      <c r="D13" s="4" t="s">
        <v>384</v>
      </c>
      <c r="E13" s="4" t="s">
        <v>407</v>
      </c>
      <c r="F13" s="4" t="s">
        <v>91</v>
      </c>
    </row>
    <row r="14" ht="42" customHeight="1" spans="1:6" s="4" customFormat="1" x14ac:dyDescent="0.25">
      <c r="A14" s="8" t="s">
        <v>73</v>
      </c>
      <c r="B14" s="4" t="s">
        <v>14</v>
      </c>
      <c r="C14" s="4" t="s">
        <v>383</v>
      </c>
      <c r="D14" s="4" t="s">
        <v>384</v>
      </c>
      <c r="E14" s="4" t="s">
        <v>408</v>
      </c>
      <c r="F14" s="4" t="s">
        <v>92</v>
      </c>
    </row>
    <row r="15" ht="42" customHeight="1" spans="1:6" s="4" customFormat="1" x14ac:dyDescent="0.25">
      <c r="A15" s="8" t="s">
        <v>74</v>
      </c>
      <c r="B15" s="4" t="s">
        <v>14</v>
      </c>
      <c r="C15" s="4" t="s">
        <v>383</v>
      </c>
      <c r="D15" s="4" t="s">
        <v>384</v>
      </c>
      <c r="E15" s="4" t="s">
        <v>409</v>
      </c>
      <c r="F15" s="4" t="s">
        <v>410</v>
      </c>
    </row>
    <row r="16" ht="42" customHeight="1" spans="1:6" s="4" customFormat="1" x14ac:dyDescent="0.25">
      <c r="A16" s="8" t="s">
        <v>27</v>
      </c>
      <c r="B16" s="4" t="s">
        <v>29</v>
      </c>
      <c r="C16" s="4" t="s">
        <v>383</v>
      </c>
      <c r="D16" s="4" t="s">
        <v>384</v>
      </c>
      <c r="E16" s="4" t="s">
        <v>411</v>
      </c>
      <c r="F16" s="4" t="s">
        <v>412</v>
      </c>
    </row>
    <row r="17" ht="42" customHeight="1" spans="1:6" s="4" customFormat="1" x14ac:dyDescent="0.25">
      <c r="A17" s="8" t="s">
        <v>30</v>
      </c>
      <c r="B17" s="4" t="s">
        <v>29</v>
      </c>
      <c r="C17" s="4" t="s">
        <v>383</v>
      </c>
      <c r="D17" s="4" t="s">
        <v>384</v>
      </c>
      <c r="E17" s="4" t="s">
        <v>413</v>
      </c>
      <c r="F17" s="4" t="s">
        <v>414</v>
      </c>
    </row>
    <row r="18" ht="42" customHeight="1" spans="1:6" s="4" customFormat="1" x14ac:dyDescent="0.25">
      <c r="A18" s="8" t="s">
        <v>76</v>
      </c>
      <c r="B18" s="4" t="s">
        <v>14</v>
      </c>
      <c r="C18" s="4" t="s">
        <v>383</v>
      </c>
      <c r="D18" s="4" t="s">
        <v>384</v>
      </c>
      <c r="E18" s="4" t="s">
        <v>415</v>
      </c>
      <c r="F18" s="4" t="s">
        <v>416</v>
      </c>
    </row>
    <row r="19" ht="42" customHeight="1" spans="1:6" s="4" customFormat="1" x14ac:dyDescent="0.25">
      <c r="A19" s="8" t="s">
        <v>206</v>
      </c>
      <c r="B19" s="4" t="s">
        <v>397</v>
      </c>
      <c r="C19" s="4" t="s">
        <v>384</v>
      </c>
      <c r="D19" s="4" t="s">
        <v>384</v>
      </c>
      <c r="E19" s="4" t="s">
        <v>417</v>
      </c>
      <c r="F19" s="4" t="s">
        <v>418</v>
      </c>
    </row>
    <row r="20" ht="42" customHeight="1" spans="1:6" s="4" customFormat="1" x14ac:dyDescent="0.25">
      <c r="A20" s="8" t="s">
        <v>207</v>
      </c>
      <c r="B20" s="4" t="s">
        <v>397</v>
      </c>
      <c r="C20" s="4" t="s">
        <v>384</v>
      </c>
      <c r="D20" s="4" t="s">
        <v>419</v>
      </c>
      <c r="E20" s="4" t="s">
        <v>420</v>
      </c>
      <c r="F20" s="4" t="s">
        <v>421</v>
      </c>
    </row>
    <row r="21" ht="42" customHeight="1" spans="1:6" s="4" customFormat="1" x14ac:dyDescent="0.25">
      <c r="A21" s="8" t="s">
        <v>422</v>
      </c>
      <c r="B21" s="4" t="s">
        <v>397</v>
      </c>
      <c r="C21" s="4" t="s">
        <v>384</v>
      </c>
      <c r="D21" s="4" t="s">
        <v>419</v>
      </c>
      <c r="E21" s="4" t="s">
        <v>423</v>
      </c>
      <c r="F21" s="4" t="s">
        <v>424</v>
      </c>
    </row>
    <row r="22" ht="42" customHeight="1" spans="1:6" s="4" customFormat="1" x14ac:dyDescent="0.25">
      <c r="A22" s="8" t="s">
        <v>210</v>
      </c>
      <c r="B22" s="4" t="s">
        <v>397</v>
      </c>
      <c r="C22" s="4" t="s">
        <v>384</v>
      </c>
      <c r="D22" s="4" t="s">
        <v>425</v>
      </c>
      <c r="E22" s="4" t="s">
        <v>426</v>
      </c>
      <c r="F22" s="4" t="s">
        <v>427</v>
      </c>
    </row>
    <row r="23" ht="42" customHeight="1" spans="1:6" s="4" customFormat="1" x14ac:dyDescent="0.25">
      <c r="A23" s="8" t="s">
        <v>211</v>
      </c>
      <c r="B23" s="4" t="s">
        <v>397</v>
      </c>
      <c r="C23" s="4" t="s">
        <v>384</v>
      </c>
      <c r="D23" s="4" t="s">
        <v>383</v>
      </c>
      <c r="E23" s="4" t="s">
        <v>428</v>
      </c>
      <c r="F23" s="4" t="s">
        <v>429</v>
      </c>
    </row>
  </sheetData>
  <pageMargins left="0.25" right="0.25" top="0.5" bottom="0.5" header="0.2" footer="0.2"/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Automated Cases</vt:lpstr>
      <vt:lpstr>Manual UI UX Cases</vt:lpstr>
      <vt:lpstr>Coverage Summary</vt:lpstr>
      <vt:lpstr>Field Reference</vt:lpstr>
    </vt:vector>
  </TitlesOfParts>
  <Company>Ledgers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>Product Tour UI/UX Test Cases</dc:title>
  <dc:subject>Human-readable automated and manual UI/UX coverage for June Product Tour</dc:subject>
  <dc:description>{"schemaVersion":1,"module":"Product Tour","generatedAt":"2026-09-23T12:59:47.611Z","automatedCount":12,"manualCount":9,"sourceHashes":{"scripts/create-ui-ux-test-suites.mjs":"90e73e8f83f39210b5b5e5e9512fa2d4d35fca9e9506a6fac49188e225ff738d","test-cases/suite-tag-registry.mjs":"ee3c2d26fd81bb555b15bb3a6e0b07d21e57c35c7a05720dafafe30b29ababc4","test-cases/ui-ux-manual/index.mjs":"09e77d1a6d16bb5af7d92e3349e0d498032821b5c68385e24ed252131e3d320d","test-cases/ui-ux-manual/account.mjs":"a2b8c12598e6bc2af100f51d26fbc351d656d2c9491009262e5b75b9bedad49c","test-cases/ui-ux-manual/agents.mjs":"08fcdf480b75500707cff650322eb73399a4924899055fb1a7c0f561b22cddad","test-cases/ui-ux-manual/tools.mjs":"58aba157e933a3dca363858b7817a1ddc2d16817fb4c6ca4ed19d1da9df688c5","test-cases/ui-ux-manual/connectors.mjs":"f8b2529182a337902bb1661e83cd63096b8acbd8ee14a25ff0f82ded4d6d61e9","test-cases/ui-ux-manual/knowledge.mjs":"8ef1cc1a293c4cde86e332bef24be93a5c2f78aa2b0546b42c3dc3d659d11335","test-cases/ui-ux-manual/guardrails.mjs":"885446819076498f2a2ffd88536490d42cd3dd557815eae71854f7e81e731652","test-cases/ui-ux-manual/ui-components.mjs":"1c33fb8683959a2c0a6a816ff4e861d1b3b00dbb3b842eb89df9800561310b65","test-cases/ui-ux-manual/product-tour.mjs":"cce4527c3b65355aad554657854b02f29c4c9245445325048959cc98fc8cc609","test-data/ui-automation-test-catalog.xlsx":"75e99f00b93f022bbbb291602d4491b4c0180c0e61bd7b2e82a590106ec73dd0","test-data/product-tour-data-driven.xlsx":"2891a06a6411b80f3923619273c380d012cc7a3a97887a1ab82713437e942aff","config/environments.json":"90fe37e6e777c7704ce19b19b103f9b48b12d74aae18e677c026ef7163c51661"},"workbookHash":"a5b32b02a26cd7e366101b5075bb46bc7544efc67b4030cabe52e6a91007c31f"}</dc:description>
  <cp:keywords/>
  <cp:category/>
  <cp:lastModifiedBy>QA Copilot Playwright</cp:lastModifiedBy>
  <dcterms:created xsi:type="dcterms:W3CDTF">2026-09-23T12:59:47Z</dcterms:created>
  <dcterms:modified xsi:type="dcterms:W3CDTF">2026-09-23T12:59:47Z</dcterms:modified>
</cp:coreProperties>
</file>