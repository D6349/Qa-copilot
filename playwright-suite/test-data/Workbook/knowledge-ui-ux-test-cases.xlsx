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utomated Cases" state="visible" r:id="rId5"/>
    <sheet sheetId="3" name="Manual UI UX Cases" state="visible" r:id="rId6"/>
    <sheet sheetId="4" name="Coverage Summary" state="visible" r:id="rId7"/>
    <sheet sheetId="5" name="Field Reference" state="visible" r:id="rId8"/>
  </sheets>
  <definedNames>
    <definedName name="_xlnm.Print_Titles" localSheetId="1">'Automated Cases'!$1:$1</definedName>
    <definedName name="_xlnm.Print_Titles" localSheetId="2">'Manual UI UX Cases'!$1:$1</definedName>
  </definedNames>
  <calcPr calcId="171027" fullCalcOnLoad="1"/>
</workbook>
</file>

<file path=xl/sharedStrings.xml><?xml version="1.0" encoding="utf-8"?>
<sst xmlns="http://schemas.openxmlformats.org/spreadsheetml/2006/main" count="1817" uniqueCount="809">
  <si>
    <t>Knowledge UI/UX Test Suite</t>
  </si>
  <si>
    <t>Human-readable test design for review, execution and stakeholder sharing</t>
  </si>
  <si>
    <t>Topic</t>
  </si>
  <si>
    <t>Guidance</t>
  </si>
  <si>
    <t>Applies To</t>
  </si>
  <si>
    <t>Purpose</t>
  </si>
  <si>
    <t>Independent Knowledge UI/UX test-case workbook. Scope: Knowledge discovery, creation, source configuration, access, persistence, update, security and safe cleanup.</t>
  </si>
  <si>
    <t>All sheets</t>
  </si>
  <si>
    <t>Coverage</t>
  </si>
  <si>
    <t>30 current automated cases plus 36 additional manual UI/UX cases.</t>
  </si>
  <si>
    <t>Summary</t>
  </si>
  <si>
    <t>Existing data preserved</t>
  </si>
  <si>
    <t>The runtime workbook test-data/knowledge-data-driven.xlsx remains unchanged and continues to drive Playwright.</t>
  </si>
  <si>
    <t>Automation</t>
  </si>
  <si>
    <t>Automated Cases</t>
  </si>
  <si>
    <t>Plain-language view of the current Playwright coverage. Actions and assertions remain in code; test data remains in the runtime workbook.</t>
  </si>
  <si>
    <t>Manual UI/UX Cases</t>
  </si>
  <si>
    <t>Visual, usability, accessibility, responsive, feedback and compatibility checks that require human observation or assistive tools.</t>
  </si>
  <si>
    <t>Execute automation</t>
  </si>
  <si>
    <t>From the repository root: npm.cmd run env:run -- &lt;dev|uat|live&gt; knowledge. Append --headed for visible Chrome.</t>
  </si>
  <si>
    <t>Manual status</t>
  </si>
  <si>
    <t>Update only Status, Actual Result, Executed By, Executed On, Defect ID and Remarks while executing manual cases.</t>
  </si>
  <si>
    <t>Manual execution preservation</t>
  </si>
  <si>
    <t>Regeneration matches Manual UI UX Cases by Test Case ID and carries forward the editable execution fields for IDs that remain.</t>
  </si>
  <si>
    <t>Most important cases</t>
  </si>
  <si>
    <t>P0 is highest priority and is highlighted red; P1 is highlighted orange. The eight @smoke and @prod-smoke rows are the minimum read-only critical path, while @sanity is the broader fast confidence pack.</t>
  </si>
  <si>
    <t>Priority and suite tags</t>
  </si>
  <si>
    <t>Test Suites</t>
  </si>
  <si>
    <t>Registry-derived reusable packs such as Functional, Non-Functional, Smoke, Sanity, Regression, Accessibility, Performance and UAT.</t>
  </si>
  <si>
    <t>Both case sheets</t>
  </si>
  <si>
    <t>Execution Tags</t>
  </si>
  <si>
    <t>Automated rows contain registry tags synchronized to Playwright titles. Manual rows use reporting/filter tags and also include @manual, the module slug and normalized UX category.</t>
  </si>
  <si>
    <t>Run tagged automation</t>
  </si>
  <si>
    <t>Use npm.cmd run test:smoke, test:sanity, test:regression, test:security, test:a11y, test:api, test:e2e:tagged or test:integration. Each command selects the eight primary module files in Chrome.</t>
  </si>
  <si>
    <t>Environment-specific packs</t>
  </si>
  <si>
    <t>Use npm.cmd run test:uat:tagged for the UAT acceptance pack. npm.cmd run test:prod-smoke runs only the eight curated read-only @prod-smoke cases in LIVE.</t>
  </si>
  <si>
    <t>Manual-only packs</t>
  </si>
  <si>
    <t>Responsive, compatibility, visual-regression, performance, localization and exploratory tags identify designed manual reviews unless a row is explicitly present in Automated Cases.</t>
  </si>
  <si>
    <t>Retest</t>
  </si>
  <si>
    <t>Retest is defect-specific and intentionally not assigned statically; select the affected case when validating a particular fix.</t>
  </si>
  <si>
    <t>Execution planning</t>
  </si>
  <si>
    <t>Automation evidence</t>
  </si>
  <si>
    <t>Each executed Pass or Fail case automatically adds a privacy-masked final screenshot to the same Test Case ID row in the per-run Excel report under test-results/&lt;environment&gt;/excel. The row also links to the full image in its evidence folder; this static design workbook remains unchanged.</t>
  </si>
  <si>
    <t>Automated execution</t>
  </si>
  <si>
    <t>Manual evidence</t>
  </si>
  <si>
    <t>Attach screenshots, videos, accessibility output or defect links in the team test-management location; reference the Test Case ID.</t>
  </si>
  <si>
    <t>Manual execution</t>
  </si>
  <si>
    <t>Environment safety</t>
  </si>
  <si>
    <t>Use approved synthetic data. Review Write Operation cases before LIVE execution and confirm environment-specific accounts and permissions.</t>
  </si>
  <si>
    <t>All execution</t>
  </si>
  <si>
    <t>Expected results</t>
  </si>
  <si>
    <t>Results are written as observable outcomes so product, design, QA and engineering readers can interpret them consistently.</t>
  </si>
  <si>
    <t>All cases</t>
  </si>
  <si>
    <t>UI/UX scope</t>
  </si>
  <si>
    <t>API-only fields such as HTTP method, response status, JSONPath and response timing are outside this UI/UX workbook scope.</t>
  </si>
  <si>
    <t>Workbook design</t>
  </si>
  <si>
    <t>Regenerate</t>
  </si>
  <si>
    <t>From the repository root: npm.cmd run data:ui-ux-suites</t>
  </si>
  <si>
    <t>Maintenance</t>
  </si>
  <si>
    <t>Sequence</t>
  </si>
  <si>
    <t>Test Case ID</t>
  </si>
  <si>
    <t>Module</t>
  </si>
  <si>
    <t>Feature / Area</t>
  </si>
  <si>
    <t>Test Case Title</t>
  </si>
  <si>
    <t>Objective</t>
  </si>
  <si>
    <t>Preconditions</t>
  </si>
  <si>
    <t>Test Steps</t>
  </si>
  <si>
    <t>Test Data / Inputs</t>
  </si>
  <si>
    <t>Expected Result</t>
  </si>
  <si>
    <t>Category</t>
  </si>
  <si>
    <t>Scenario Type</t>
  </si>
  <si>
    <t>Priority</t>
  </si>
  <si>
    <t>Severity</t>
  </si>
  <si>
    <t>Automation Status</t>
  </si>
  <si>
    <t>Write Operation</t>
  </si>
  <si>
    <t>Environment</t>
  </si>
  <si>
    <t>Tags</t>
  </si>
  <si>
    <t>Source</t>
  </si>
  <si>
    <t>Notes</t>
  </si>
  <si>
    <t>KB-001</t>
  </si>
  <si>
    <t>Knowledge</t>
  </si>
  <si>
    <t>Knowledge navigation</t>
  </si>
  <si>
    <t>Open the Knowledge Base module</t>
  </si>
  <si>
    <t>Verify authenticated entry to Knowledge Base and its primary controls.</t>
  </si>
  <si>
    <t>1. A valid authenticated June session is available.</t>
  </si>
  <si>
    <t xml:space="preserve">1. Open Knowledge Base.
2. Verify the page heading, discovery controls and create action.
3. Verify the existing Knowledge Base list is usable.</t>
  </si>
  <si>
    <t xml:space="preserve">Knowledge Path: /knowledge-base
Heading: Knowledge Base
Create Button: Knowledge Base
Search Placeholder: Search knowledge</t>
  </si>
  <si>
    <t>Knowledge Base opens in the authenticated business and exposes its primary controls.</t>
  </si>
  <si>
    <t>Functional</t>
  </si>
  <si>
    <t>Positive</t>
  </si>
  <si>
    <t>P1</t>
  </si>
  <si>
    <t>Major</t>
  </si>
  <si>
    <t>Automated</t>
  </si>
  <si>
    <t>NO</t>
  </si>
  <si>
    <t>Configured DEV / UAT / LIVE</t>
  </si>
  <si>
    <t>Functional, Smoke, Production Smoke, Sanity, Regression, UAT</t>
  </si>
  <si>
    <t>@functional @smoke @prod-smoke @sanity @regression @uat</t>
  </si>
  <si>
    <t>flow, smoke, knowledge, navigation, regression</t>
  </si>
  <si>
    <t>knowledge-data-driven.xlsx</t>
  </si>
  <si>
    <t/>
  </si>
  <si>
    <t>KB-002</t>
  </si>
  <si>
    <t>Knowledge discovery</t>
  </si>
  <si>
    <t>Search for a visible Knowledge Base and clear the search</t>
  </si>
  <si>
    <t>Verify discovery against visible business data without changing it.</t>
  </si>
  <si>
    <t xml:space="preserve">1. A valid authenticated June session is available.
2. At least one Knowledge Base is visible.</t>
  </si>
  <si>
    <t xml:space="preserve">1. Capture the visible Knowledge Base names.
2. Search with one visible name.
3. Verify every result matches the search value.
4. Clear search and verify the original list returns.</t>
  </si>
  <si>
    <t>No additional row data. Uses shared module settings and current page state.</t>
  </si>
  <si>
    <t>Search returns only matching Knowledge Bases and clearing restores the original list.</t>
  </si>
  <si>
    <t>Functional, Sanity, Regression, UAT</t>
  </si>
  <si>
    <t>@functional @sanity @regression @uat</t>
  </si>
  <si>
    <t>flow, knowledge, search, regression</t>
  </si>
  <si>
    <t>KB-003</t>
  </si>
  <si>
    <t>Qdrant connection</t>
  </si>
  <si>
    <t>Show the recorded Qdrant connection controls</t>
  </si>
  <si>
    <t>Verify the Qdrant panel, secret masking and safe close behavior.</t>
  </si>
  <si>
    <t xml:space="preserve">1. Open the Qdrant connection panel.
2. Verify the API key, endpoint and Verify Connection controls.
3. Verify the API key control masks entered synthetic text.
4. Close the panel without verifying or saving.</t>
  </si>
  <si>
    <t xml:space="preserve">Provider: Qdrant
Secret Value: {{SYNTHETIC_SECRET_PREFIX}}-{{RUN_COMPACT}}
Masked: true</t>
  </si>
  <si>
    <t>The Qdrant panel shows its recorded fields, masks secret input and closes safely.</t>
  </si>
  <si>
    <t>Functional, Regression</t>
  </si>
  <si>
    <t>@functional @regression</t>
  </si>
  <si>
    <t>flow, knowledge, qdrant, connection, data-protection</t>
  </si>
  <si>
    <t>KB-004</t>
  </si>
  <si>
    <t>Qdrant connection validation</t>
  </si>
  <si>
    <t>Reject incomplete and unsafe Qdrant connection values</t>
  </si>
  <si>
    <t>Validate required values and block unsafe endpoint shapes without sending credentials.</t>
  </si>
  <si>
    <t xml:space="preserve">1. Try Verify Connection with each required value missing.
2. Try malformed and non-HTTPS endpoint values.
3. Try credential-bearing, localhost, private and link-local endpoints.
4. Verify no provider request is sent for rejected values.</t>
  </si>
  <si>
    <t>Invalid Connections: 1) Label=all values empty, Api Key=, Endpoint=; 2) Label=API key missing, Api Key=, Endpoint=https://qdrant.example.test:6333; 3) Label=endpoint missing, Api Key={{SYNTHETIC_SECRET_PREFIX}}, Endpoint=; 4) Label=malformed endpoint, Api Key={{SYNTHETIC_SECRET_PREFIX}}, Endpoint=not-a-url; 5) Label=insecure endpoint, Api Key={{SYNTHETIC_SECRET_PREFIX}}, Endpoint=http://qdrant.example.test:6333; 6) Label=script endpoint, Api Key={{SYNTHETIC_SECRET_PREFIX}}, Endpoint=javascript:alert(1); 7) Label=local file endpoint, Api Key={{SYNTHETIC_SECRET_PREFIX}}, Endpoint=file:///etc/passwd; 8) Label=credential-bearing endpoint, Api Key={{SYNTHETIC_SECRET_PREFIX}}, Endpoint=https://embedded-userinfo@qdrant.example.test:6333; 9) Label=localhost endpoint, Api Key={{SYNTHETIC_SECRET_PREFIX}}, Endpoint=https://127.0.0.1:6333; 10) Label=private endpoint, Api Key={{SYNTHETIC_SECRET_PREFIX}}, Endpoint=https://10.0.0.1:6333; 11) Label=link-local endpoint, Api Key={{SYNTHETIC_SECRET_PREFIX}}, Endpoint=https://169.254.169.254/latest/meta-data/</t>
  </si>
  <si>
    <t>Incomplete and unsafe Qdrant values are rejected before any provider request is sent.</t>
  </si>
  <si>
    <t>Negative + Security</t>
  </si>
  <si>
    <t>Critical</t>
  </si>
  <si>
    <t>Functional, Non-Functional, Sanity, Regression, Security, API, UAT</t>
  </si>
  <si>
    <t>@functional @non-functional @sanity @regression @security @api @uat</t>
  </si>
  <si>
    <t>flow, negative, security, api, knowledge, qdrant, validation, ssrf</t>
  </si>
  <si>
    <t>KB-005</t>
  </si>
  <si>
    <t>Qdrant connection integration</t>
  </si>
  <si>
    <t>Verify Qdrant with environment supplied credentials</t>
  </si>
  <si>
    <t>Exercise the recorded Qdrant verification using secrets read only from the environment.</t>
  </si>
  <si>
    <t xml:space="preserve">1. A valid authenticated June session is available.
2. Approved Qdrant test credentials are available through the configured environment variables.</t>
  </si>
  <si>
    <t xml:space="preserve">1. Open the Qdrant connection panel.
2. Fill the key and endpoint from environment-backed values.
3. Choose Verify Connection.
4. Verify a bounded success result and close the panel.</t>
  </si>
  <si>
    <t xml:space="preserve">Provider: Qdrant
Environment Variables: Api Key=KNOWLEDGE_QDRANT_API_KEY, Endpoint=KNOWLEDGE_QDRANT_ENDPOINT
Requires External Provider: true
Redact Evidence: true</t>
  </si>
  <si>
    <t>Qdrant verification succeeds without exposing credential values in URLs, logs or evidence.</t>
  </si>
  <si>
    <t>Integration</t>
  </si>
  <si>
    <t>Functional, Regression, Integration, API</t>
  </si>
  <si>
    <t>@functional @regression @integration @api</t>
  </si>
  <si>
    <t>flow, integration, api, knowledge, qdrant, connection, secrets</t>
  </si>
  <si>
    <t>KB-006</t>
  </si>
  <si>
    <t>Chroma connection</t>
  </si>
  <si>
    <t>Show the recorded Chroma connection controls</t>
  </si>
  <si>
    <t>Verify the Chroma panel, secret masking and provider selection controls.</t>
  </si>
  <si>
    <t xml:space="preserve">1. Open the Chroma connection panel.
2. Verify API key, tenant, database, collection and Verify Connection controls.
3. Verify secret input is masked.
4. Close the panel without verifying or saving.</t>
  </si>
  <si>
    <t xml:space="preserve">Provider: Chroma
Secret Value: {{SYNTHETIC_SECRET_PREFIX}}-{{RUN_COMPACT}}
Masked: true</t>
  </si>
  <si>
    <t>The Chroma panel exposes the recorded controls, masks secrets and closes safely.</t>
  </si>
  <si>
    <t>flow, knowledge, chroma, connection, data-protection</t>
  </si>
  <si>
    <t>KB-007</t>
  </si>
  <si>
    <t>Chroma connection validation</t>
  </si>
  <si>
    <t>Validate every required Chroma connection value</t>
  </si>
  <si>
    <t>Exercise empty, individually missing and whitespace-only Chroma values.</t>
  </si>
  <si>
    <t xml:space="preserve">1. Try Verify Connection with all Chroma values empty.
2. Try with API key and tenant missing one at a time.
3. Try whitespace-only API key and tenant values.
4. Verify the panel remains open and reports actionable validation.</t>
  </si>
  <si>
    <t xml:space="preserve">Invalid Connections: 1) Label=all values empty, Api Key=, Tenant=; 2) Label=API key missing, Api Key=, Tenant=qa-synthetic-tenant; 3) Label=tenant missing, Api Key={{SYNTHETIC_SECRET_PREFIX}}, Tenant=; 4) Label=whitespace API key, Api Key=   , Tenant=qa-synthetic-tenant; 5) Label=whitespace tenant, Api Key={{SYNTHETIC_SECRET_PREFIX}}, Tenant=   </t>
  </si>
  <si>
    <t>Chroma verification is blocked until every required connection value is valid.</t>
  </si>
  <si>
    <t>Negative</t>
  </si>
  <si>
    <t>flow, negative, knowledge, chroma, validation, required-fields</t>
  </si>
  <si>
    <t>KB-008</t>
  </si>
  <si>
    <t>Chroma connection discovery</t>
  </si>
  <si>
    <t>Load Chroma databases and collections in dependency order</t>
  </si>
  <si>
    <t>Verify collection choices depend on the selected database and stale values are cleared.</t>
  </si>
  <si>
    <t xml:space="preserve">1. A valid authenticated June session is available.
2. Approved Chroma test credentials are available through the configured environment variables.
3. Two approved synthetic Chroma databases are available for dependency testing.</t>
  </si>
  <si>
    <t xml:space="preserve">1. Fill the environment-backed Chroma key and tenant.
2. Select the configured test database.
3. Verify its collection choices load.
4. Change the database and verify a stale collection is cleared.</t>
  </si>
  <si>
    <t xml:space="preserve">Environment Variables: Api Key=KNOWLEDGE_CHROMA_API_KEY, Tenant=KNOWLEDGE_CHROMA_TENANT, Database=KNOWLEDGE_CHROMA_DATABASE, Collection=KNOWLEDGE_CHROMA_COLLECTION, Alternate Database=KNOWLEDGE_CHROMA_ALTERNATE_DATABASE
Requires External Provider: true</t>
  </si>
  <si>
    <t>Chroma database and collection choices load in order and never retain an incompatible collection.</t>
  </si>
  <si>
    <t>flow, integration, api, knowledge, chroma, database, collection</t>
  </si>
  <si>
    <t>KB-009</t>
  </si>
  <si>
    <t>Chroma connection integration</t>
  </si>
  <si>
    <t>Verify Chroma with environment supplied credentials</t>
  </si>
  <si>
    <t>Exercise the recorded Chroma verification without storing credentials in test data.</t>
  </si>
  <si>
    <t xml:space="preserve">1. A valid authenticated June session is available.
2. Approved Chroma test credentials and resource names are available through configured environment variables.</t>
  </si>
  <si>
    <t xml:space="preserve">1. Open the Chroma connection panel.
2. Fill secrets and choose resources from environment-backed values.
3. Choose Verify Connection.
4. Verify a bounded success result without exposing any secret.</t>
  </si>
  <si>
    <t xml:space="preserve">Provider: Chroma
Environment Variables: Api Key=KNOWLEDGE_CHROMA_API_KEY, Tenant=KNOWLEDGE_CHROMA_TENANT, Database=KNOWLEDGE_CHROMA_DATABASE, Collection=KNOWLEDGE_CHROMA_COLLECTION
Requires External Provider: true
Redact Evidence: true</t>
  </si>
  <si>
    <t>Chroma verification succeeds and no credential value appears in URLs, logs or evidence.</t>
  </si>
  <si>
    <t>flow, integration, api, knowledge, chroma, connection, secrets</t>
  </si>
  <si>
    <t>KB-010</t>
  </si>
  <si>
    <t>Knowledge Information validation</t>
  </si>
  <si>
    <t>Validate the required Knowledge Base name</t>
  </si>
  <si>
    <t>Reject empty and whitespace-only names before initialization.</t>
  </si>
  <si>
    <t xml:space="preserve">1. Open the Knowledge Base creation form.
2. Try to continue with an empty name.
3. Try again with a whitespace-only name.
4. Enter a valid timestamped draft name and verify the error clears.
5. Cancel the draft.</t>
  </si>
  <si>
    <t xml:space="preserve">Invalid Names: ,    , 	
Valid Name: {{DRAFT_NAME}}</t>
  </si>
  <si>
    <t>Only a non-empty trimmed Knowledge Base name satisfies Information validation.</t>
  </si>
  <si>
    <t>flow, negative, knowledge, information, validation, required-fields</t>
  </si>
  <si>
    <t>KB-011</t>
  </si>
  <si>
    <t>Knowledge provider selection</t>
  </si>
  <si>
    <t>Validate the inline provider selector</t>
  </si>
  <si>
    <t>Verify the current inline Provider selector exposes every recorded provider and accepts Chroma.</t>
  </si>
  <si>
    <t xml:space="preserve">1. Open the New Knowledge Base form.
2. Open the inline Provider selector.
3. Verify Qdrant, Chroma and Pinecone are available.
4. Choose Chroma and verify the selected value.
5. Cancel the draft without initializing.</t>
  </si>
  <si>
    <t xml:space="preserve">Provider Options: Qdrant, Chroma, Pinecone
Selected Provider: Chroma</t>
  </si>
  <si>
    <t>The inline Provider selector exposes the recorded providers and retains Chroma within the unsaved draft.</t>
  </si>
  <si>
    <t>flow, positive, knowledge, provider, chroma, selection</t>
  </si>
  <si>
    <t>KB-012</t>
  </si>
  <si>
    <t>Knowledge embedding configuration</t>
  </si>
  <si>
    <t>Select each recorded embedding model</t>
  </si>
  <si>
    <t>Exercise Embedding Small and Embedding Large in the current inline Embedding Model selector.</t>
  </si>
  <si>
    <t xml:space="preserve">1. Open the New Knowledge Base form.
2. Verify both recorded embedding choices are available.
3. Select Embedding Small and verify its selected state.
4. Select Embedding Large and verify it replaces the previous selection.
5. Restore the configured model and cancel the draft.</t>
  </si>
  <si>
    <t xml:space="preserve">Embedding Models: Embedding Small, Embedding Large
Final Model: {{EMBEDDING_MODEL}}</t>
  </si>
  <si>
    <t>Both recorded embedding models are selectable and only the current draft selection remains active.</t>
  </si>
  <si>
    <t>flow, positive, knowledge, embedding, selection, data-integrity</t>
  </si>
  <si>
    <t>KB-013</t>
  </si>
  <si>
    <t>Knowledge draft cancellation</t>
  </si>
  <si>
    <t>Cancel unsaved provider and embedding changes</t>
  </si>
  <si>
    <t>Verify Cancel discards provider and embedding choices made in a new Knowledge Base draft.</t>
  </si>
  <si>
    <t xml:space="preserve">1. Open the New Knowledge Base form.
2. Choose Chroma and a non-default embedding model.
3. Choose Cancel without initializing.
4. Reopen the form and verify both selectors show their placeholders.
5. Cancel the reopened draft.</t>
  </si>
  <si>
    <t xml:space="preserve">Draft Provider: Chroma
Draft Embedding Model: Embedding Large
Provider Placeholder: Select provider
Embedding Placeholder: Select embedding model</t>
  </si>
  <si>
    <t>Canceling the draft discards the unsaved provider and embedding selections.</t>
  </si>
  <si>
    <t>Positive + Negative</t>
  </si>
  <si>
    <t>flow, knowledge, provider, embedding, cancel, persistence</t>
  </si>
  <si>
    <t>KB-014</t>
  </si>
  <si>
    <t>Knowledge description security</t>
  </si>
  <si>
    <t>Reveal the description field and render payloads as text</t>
  </si>
  <si>
    <t>Exercise the recorded Show control and ensure description input cannot execute markup.</t>
  </si>
  <si>
    <t xml:space="preserve">1. Choose Show to reveal the Knowledge Base description.
2. Verify its recorded guidance text.
3. Enter the configured harmless XSS-shaped marker.
4. Verify no script executes and no markup node is injected.
5. Cancel the draft and verify the marker is not persisted.</t>
  </si>
  <si>
    <t>Xss Payload: {{XSS_MARKER}}</t>
  </si>
  <si>
    <t>The description control is revealed on demand and treats the security marker only as text.</t>
  </si>
  <si>
    <t>Security</t>
  </si>
  <si>
    <t>Functional, Non-Functional, Regression, Security</t>
  </si>
  <si>
    <t>@functional @non-functional @regression @security</t>
  </si>
  <si>
    <t>flow, security, knowledge, description, xss, input-encoding</t>
  </si>
  <si>
    <t>KB-015</t>
  </si>
  <si>
    <t>Knowledge initialization validation</t>
  </si>
  <si>
    <t>Block Initialize until every prerequisite is complete</t>
  </si>
  <si>
    <t>Verify provider verification, Information and connected index configuration independently gate initialization.</t>
  </si>
  <si>
    <t xml:space="preserve">1. Try Initialize without a verified provider.
2. Try with the Knowledge Base name missing.
3. Try with connected provider index configuration missing.
4. Restore all configured prerequisites and verify Initialize becomes available.
5. Cancel without initializing.</t>
  </si>
  <si>
    <t xml:space="preserve">Missing Prerequisites: provider verification, Knowledge Base name, connected provider index configuration
Provider: {{KNOWLEDGE_PROVIDER}}</t>
  </si>
  <si>
    <t>Initialization is rejected before mutation until provider verification, Information and connected index configuration are valid.</t>
  </si>
  <si>
    <t>Functional, Sanity, Regression, Integration, UAT</t>
  </si>
  <si>
    <t>@functional @sanity @regression @integration @uat</t>
  </si>
  <si>
    <t>flow, negative, knowledge, initialize, validation, integration</t>
  </si>
  <si>
    <t>KB-016</t>
  </si>
  <si>
    <t>Knowledge initialization</t>
  </si>
  <si>
    <t>Initialize a date-time-stamped Knowledge Base</t>
  </si>
  <si>
    <t>Create one traceable Knowledge Base with approved synthetic run data.</t>
  </si>
  <si>
    <t xml:space="preserve">1. A valid authenticated June session is available.
2. Approved provider test credentials are available through environment variables.
3. The active environment permits explicitly opted-in Knowledge Base writes.</t>
  </si>
  <si>
    <t xml:space="preserve">1. Verify the configured provider using environment-backed values.
2. Enter the unique run name and synthetic description, configure the verified provider index name and embedding model, then explicitly select that collection.
3. Choose Initialize once.
4. Wait for bounded completion and search for the exact created name.</t>
  </si>
  <si>
    <t xml:space="preserve">Provider: {{KNOWLEDGE_PROVIDER}}
Name: {{KNOWLEDGE_NAME}}
Embedding Model: {{EMBEDDING_MODEL}}
Description: {{CREATED_DESCRIPTION}}
Requires Write Opt In: true
Write Opt In Environment Variable: KNOWLEDGE_ALLOW_WRITES
Index Name: {{INDEX_NAME}}</t>
  </si>
  <si>
    <t>Exactly one date-time-stamped Knowledge Base with its connected provider index is initialized and visible in the list.</t>
  </si>
  <si>
    <t>End to end</t>
  </si>
  <si>
    <t>YES</t>
  </si>
  <si>
    <t>Functional, Regression, End-to-End, Integration</t>
  </si>
  <si>
    <t>@functional @regression @e2e @integration</t>
  </si>
  <si>
    <t>flow, write, e2e, integration, knowledge, initialize, create, date-time</t>
  </si>
  <si>
    <t>KB-017</t>
  </si>
  <si>
    <t>Knowledge creation verification</t>
  </si>
  <si>
    <t>Verify persisted Knowledge Base editor state</t>
  </si>
  <si>
    <t>Reopen the initialized Knowledge Base and compare the values and state exposed by the persisted editor.</t>
  </si>
  <si>
    <t>1. KB-016 initialized the Knowledge Base in the same run.</t>
  </si>
  <si>
    <t xml:space="preserve">1. Open the created Knowledge Base for editing.
2. Verify name and description.
3. Verify the selected provider and Initialized state.
4. Verify the locked provider collection shows the run-specific initialized index.
5. Verify Documents and Access tabs are available.
6. Cancel without changes.</t>
  </si>
  <si>
    <t xml:space="preserve">Expected Name: {{KNOWLEDGE_NAME}}
Expected Provider: {{KNOWLEDGE_PROVIDER}}
Expected Description: {{CREATED_DESCRIPTION}}</t>
  </si>
  <si>
    <t>The initialized Knowledge Base retains its visible non-secret Information, provider, selected collection and editor state.</t>
  </si>
  <si>
    <t>Functional, Regression, End-to-End</t>
  </si>
  <si>
    <t>@functional @regression @e2e</t>
  </si>
  <si>
    <t>flow, e2e, knowledge, create, persistence, verification</t>
  </si>
  <si>
    <t>KB-018</t>
  </si>
  <si>
    <t>Knowledge Documents</t>
  </si>
  <si>
    <t>Show the recorded Documents controls</t>
  </si>
  <si>
    <t>Verify the Documents tab, upload input and safe empty-state behavior.</t>
  </si>
  <si>
    <t xml:space="preserve">1. Open the created Knowledge Base for editing.
2. Open Documents.
3. Verify the document list and file upload control.
4. Verify no local path is exposed in the visible page.
5. Cancel without uploading.</t>
  </si>
  <si>
    <t xml:space="preserve">Tab Name: Documents
File Input Selector: input[type="file"]</t>
  </si>
  <si>
    <t>Documents exposes its recorded upload and list controls without leaking a local file path.</t>
  </si>
  <si>
    <t>flow, knowledge, documents, upload, data-protection</t>
  </si>
  <si>
    <t>KB-019</t>
  </si>
  <si>
    <t>Knowledge document validation</t>
  </si>
  <si>
    <t>Reject unsafe and unsupported document uploads</t>
  </si>
  <si>
    <t>Validate document type, content and bounded-size rules before upload.</t>
  </si>
  <si>
    <t xml:space="preserve">1. Open Documents on the created Knowledge Base.
2. Try the configured unsupported executable-like fixture.
3. Try a zero-byte or mismatched-content fixture.
4. Try the configured over-limit fixture when supported by the environment.
5. Verify no rejected file appears in the document list.</t>
  </si>
  <si>
    <t xml:space="preserve">Maximum Upload Bytes: 5242880
Invalid Uploads: 1) Label=executable extension, Name=knowledge-unsafe-{{RUN_COMPACT}}.exe, Mime Type=application/x-msdownload, Body=Synthetic non-executable QA text.; 2) Label=zero-byte document, Name=knowledge-empty-{{RUN_COMPACT}}.txt, Mime Type=text/plain, Body=; 3) Label=mismatched extension and content type, Name=knowledge-mismatch-{{RUN_COMPACT}}.docx, Mime Type=text/html, Body=&lt;p&gt;Synthetic mismatched QA content&lt;/p&gt;; 4) Label=over-limit text document, Name=knowledge-oversize-{{RUN_COMPACT}}.txt, Mime Type=text/plain, Size Bytes=5242881</t>
  </si>
  <si>
    <t>Unsafe and unsupported files are rejected before ingestion and never appear as documents.</t>
  </si>
  <si>
    <t>flow, negative, security, knowledge, documents, upload, validation</t>
  </si>
  <si>
    <t>KB-020</t>
  </si>
  <si>
    <t>Knowledge document ingestion</t>
  </si>
  <si>
    <t>Upload an approved synthetic Knowledge document</t>
  </si>
  <si>
    <t>Upload the configured synthetic fixture to the run-created Knowledge Base.</t>
  </si>
  <si>
    <t xml:space="preserve">1. KB-016 initialized the Knowledge Base in the same run.
2. The approved synthetic Knowledge document fixture exists.
3. The active environment permits explicitly opted-in Knowledge Base writes.</t>
  </si>
  <si>
    <t xml:space="preserve">1. Open Documents on the created Knowledge Base.
2. Upload the configured synthetic document fixture once.
3. Wait for bounded ingestion completion.
4. Verify the exact file name appears once.</t>
  </si>
  <si>
    <t xml:space="preserve">Document: Name=knowledge-test-{{RUN_COMPACT}}.txt, Mime Type=text/plain, Body=Approved synthetic Knowledge document generated at {{RUN_ISO}}. No customer or production data.
Requires Write Opt In: true
Write Opt In Environment Variable: KNOWLEDGE_ALLOW_WRITES</t>
  </si>
  <si>
    <t>The approved synthetic document is ingested once and becomes visible in Documents.</t>
  </si>
  <si>
    <t>flow, write, e2e, integration, knowledge, documents, upload</t>
  </si>
  <si>
    <t>KB-021</t>
  </si>
  <si>
    <t>Knowledge document integration</t>
  </si>
  <si>
    <t>Open the uploaded document and preserve its metadata</t>
  </si>
  <si>
    <t>Verify the recorded document selection and persisted file identity.</t>
  </si>
  <si>
    <t>1. KB-020 uploaded the synthetic document in the same run.</t>
  </si>
  <si>
    <t xml:space="preserve">1. Reopen Documents for the created Knowledge Base.
2. Verify the uploaded file appears exactly once.
3. Select the exact document name.
4. Verify the document surface opens without navigating to an unsafe origin.
5. Return without changing the document.</t>
  </si>
  <si>
    <t xml:space="preserve">Expected Document Name: knowledge-test-{{RUN_COMPACT}}.txt
Approved Origin Only: true</t>
  </si>
  <si>
    <t>The ingested document remains uniquely identifiable and opens only in an approved application surface.</t>
  </si>
  <si>
    <t>flow, integration, knowledge, documents, persistence, verification</t>
  </si>
  <si>
    <t>KB-022</t>
  </si>
  <si>
    <t>Knowledge Access</t>
  </si>
  <si>
    <t>Validate Access search, selected users and Owner</t>
  </si>
  <si>
    <t>Exercise recorded Access controls without granting permission.</t>
  </si>
  <si>
    <t xml:space="preserve">1. Open Access on the created Knowledge Base.
2. Verify Owner is visible.
3. Enter and clear the configured non-existent employee search.
4. Verify Selected Users remains zero.
5. Cancel without updating.</t>
  </si>
  <si>
    <t xml:space="preserve">Employee Search: {{NONEXISTENT_EMPLOYEE_SEARCH}}
Selected Users Text: Selected Users (0)
Owner Text: Owner</t>
  </si>
  <si>
    <t>Access search works, Owner remains visible and no user is selected or granted access.</t>
  </si>
  <si>
    <t>flow, knowledge, access, authorization, cancel</t>
  </si>
  <si>
    <t>KB-023</t>
  </si>
  <si>
    <t>Knowledge Access security</t>
  </si>
  <si>
    <t>Prevent injected Access search from selecting users</t>
  </si>
  <si>
    <t>Verify injection-shaped employee search cannot broaden or grant Knowledge access.</t>
  </si>
  <si>
    <t xml:space="preserve">1. Open Access on the created Knowledge Base.
2. Enter each configured injection-shaped employee search value.
3. Verify no injected markup executes and no unexpected user appears.
4. Verify Selected Users remains zero and Owner remains visible.
5. Cancel without updating.</t>
  </si>
  <si>
    <t xml:space="preserve">Access Search Payloads: {{SQL_INJECTION_MARKER}}, {"$ne":null}, {{XSS_MARKER}}
Selected Users Text: Selected Users (0)
Owner Text: Owner</t>
  </si>
  <si>
    <t>Injection-shaped Access searches remain literal and grant no Knowledge Base permission.</t>
  </si>
  <si>
    <t>flow, security, knowledge, access, authorization, injection</t>
  </si>
  <si>
    <t>KB-024</t>
  </si>
  <si>
    <t>Knowledge Access update</t>
  </si>
  <si>
    <t>Update Access with the recorded zero-user selection</t>
  </si>
  <si>
    <t>Exercise the recorded Update action while retaining Owner-only access.</t>
  </si>
  <si>
    <t xml:space="preserve">1. KB-016 initialized the Knowledge Base in the same run.
2. The active environment permits explicitly opted-in Knowledge Base writes.</t>
  </si>
  <si>
    <t xml:space="preserve">1. Open Access on the created Knowledge Base.
2. Verify Selected Users is zero and Owner is visible.
3. Choose Update once.
4. Reopen Access and verify the Owner-only state persists.</t>
  </si>
  <si>
    <t xml:space="preserve">Selected Users Text: Selected Users (0)
Owner Text: Owner
Update Button: Update
Requires Write Opt In: true
Write Opt In Environment Variable: KNOWLEDGE_ALLOW_WRITES</t>
  </si>
  <si>
    <t>Access Update completes once and preserves Owner-only access with zero selected users.</t>
  </si>
  <si>
    <t>flow, write, e2e, knowledge, access, update, authorization</t>
  </si>
  <si>
    <t>KB-025</t>
  </si>
  <si>
    <t>Knowledge card actions</t>
  </si>
  <si>
    <t>Restrict Knowledge Base card actions to Edit and Delete</t>
  </si>
  <si>
    <t>Verify the recorded action menu on the run-created Knowledge Base.</t>
  </si>
  <si>
    <t xml:space="preserve">1. Open the action menu on the exact created Knowledge Base.
2. Capture every visible menu item.
3. Verify Edit and Delete are present with no unexpected action.
4. Dismiss the menu without selecting an action.</t>
  </si>
  <si>
    <t>Expected Menu Items: Edit, Delete</t>
  </si>
  <si>
    <t>The Knowledge Base action menu contains only the expected Edit and Delete actions.</t>
  </si>
  <si>
    <t>flow, knowledge, actions, edit, delete, allowlist</t>
  </si>
  <si>
    <t>KB-026</t>
  </si>
  <si>
    <t>Knowledge edit validation</t>
  </si>
  <si>
    <t>Validate required Knowledge Base values while editing</t>
  </si>
  <si>
    <t>Confirm edit mode blocks invalid Information without corrupting persisted data.</t>
  </si>
  <si>
    <t xml:space="preserve">1. Open the created Knowledge Base for editing.
2. Clear its name and try Update.
3. Try a whitespace-only name and verify Update remains blocked.
4. Restore the original name and cancel.
5. Reopen and verify the original values remain intact.</t>
  </si>
  <si>
    <t xml:space="preserve">Invalid Edits: 1) Label=name is empty, Name=; 2) Label=name is whitespace only, Name=   
Update Button: Update</t>
  </si>
  <si>
    <t>Edit validation blocks invalid values and cancellation preserves the initialized Knowledge Base.</t>
  </si>
  <si>
    <t>flow, negative, knowledge, edit, validation, data-integrity</t>
  </si>
  <si>
    <t>KB-027</t>
  </si>
  <si>
    <t>Knowledge update</t>
  </si>
  <si>
    <t>Rename and update the created Knowledge Base</t>
  </si>
  <si>
    <t>Perform the recorded edit with new date-time-stamped synthetic values.</t>
  </si>
  <si>
    <t xml:space="preserve">1. Open the created Knowledge Base for editing.
2. Replace its name and description with update timestamp values.
3. Visit Documents, Access and Information to verify tab state is retained.
4. Choose Update once.
5. Search for the exact updated name.</t>
  </si>
  <si>
    <t xml:space="preserve">Updated Name: {{UPDATED_KNOWLEDGE_NAME}}
Updated Description: {{UPDATED_DESCRIPTION}}
Requires Write Opt In: true
Write Opt In Environment Variable: KNOWLEDGE_ALLOW_WRITES</t>
  </si>
  <si>
    <t>The Knowledge Base is renamed once and its updated description is saved.</t>
  </si>
  <si>
    <t>flow, write, e2e, knowledge, edit, update, date-time</t>
  </si>
  <si>
    <t>KB-028</t>
  </si>
  <si>
    <t>Knowledge update verification</t>
  </si>
  <si>
    <t>Verify persisted updates across every Knowledge tab</t>
  </si>
  <si>
    <t>Compare updated Information with unchanged Documents, Access and the persisted read-only provider collection and embedding model.</t>
  </si>
  <si>
    <t>1. KB-027 updated the Knowledge Base in the same run.</t>
  </si>
  <si>
    <t xml:space="preserve">1. Open the updated Knowledge Base for editing.
2. Verify updated name and description.
3. Verify the locked provider collection and embedding model shown by the initialized editor.
4. Verify the uploaded document remains present.
5. Verify Owner-only Access remains present and cancel.</t>
  </si>
  <si>
    <t xml:space="preserve">Expected Name: {{UPDATED_KNOWLEDGE_NAME}}
Expected Description: {{UPDATED_DESCRIPTION}}
Expected Provider: {{KNOWLEDGE_PROVIDER}}
Expected Embedding Model: {{EMBEDDING_MODEL}}
Expected Document Name: knowledge-test-{{RUN_COMPACT}}.txt
Selected Users Text: Selected Users (0)
Owner Text: Owner
Expected Index Name: {{INDEX_NAME}}</t>
  </si>
  <si>
    <t>Updated Information persists while the read-only provider collection, embedding model, document and Access state remain intact.</t>
  </si>
  <si>
    <t>flow, e2e, integration, knowledge, update, persistence, verification</t>
  </si>
  <si>
    <t>KB-029</t>
  </si>
  <si>
    <t>Knowledge deletion protection</t>
  </si>
  <si>
    <t>Cancel deletion and preserve the updated Knowledge Base</t>
  </si>
  <si>
    <t>Open the recorded Delete confirmation and cancel without data loss.</t>
  </si>
  <si>
    <t xml:space="preserve">1. Choose Delete from the exact updated Knowledge Base action menu.
2. Verify the confirmation identifies the intended Knowledge Base.
3. Choose Cancel.
4. Search for the updated name and verify its document remains present.</t>
  </si>
  <si>
    <t xml:space="preserve">Cancel Button: Cancel
Delete Button: Delete</t>
  </si>
  <si>
    <t>Cancelling deletion preserves the updated Knowledge Base and its ingested document.</t>
  </si>
  <si>
    <t>flow, knowledge, delete, cancel, destructive-action, persistence</t>
  </si>
  <si>
    <t>KB-030</t>
  </si>
  <si>
    <t>Knowledge cleanup deletion</t>
  </si>
  <si>
    <t>Delete only the run-created Knowledge Base with explicit opt-in</t>
  </si>
  <si>
    <t>Clean up the uniquely named run artifact behind both write and destructive guards.</t>
  </si>
  <si>
    <t xml:space="preserve">1. KB-027 updated the Knowledge Base in the same run.
2. The active environment permits explicitly opted-in Knowledge Base writes.
3. Destructive Knowledge cleanup is explicitly enabled for this run.</t>
  </si>
  <si>
    <t xml:space="preserve">1. Search for the exact unique updated name.
2. Open Delete and verify the confirmation identifies that exact run artifact.
3. Confirm Delete once.
4. Search again and verify the run artifact is absent.</t>
  </si>
  <si>
    <t xml:space="preserve">Delete Button: Delete
Requires Write Opt In: true
Write Opt In Environment Variable: KNOWLEDGE_ALLOW_WRITES
Requires Delete Opt In: true
Delete Opt In Environment Variable: KNOWLEDGE_ALLOW_DELETE
Destructive: true</t>
  </si>
  <si>
    <t>Only the uniquely named run-created Knowledge Base is deleted and no unrelated data changes.</t>
  </si>
  <si>
    <t>flow, write, e2e, knowledge, delete, cleanup, destructive-action</t>
  </si>
  <si>
    <t>Test Data / Viewport</t>
  </si>
  <si>
    <t>UX Category</t>
  </si>
  <si>
    <t>Review Method</t>
  </si>
  <si>
    <t>Recommended Environment</t>
  </si>
  <si>
    <t>Status</t>
  </si>
  <si>
    <t>Actual Result</t>
  </si>
  <si>
    <t>Executed By</t>
  </si>
  <si>
    <t>Executed On</t>
  </si>
  <si>
    <t>Defect ID</t>
  </si>
  <si>
    <t>Remarks</t>
  </si>
  <si>
    <t>KB-UX-001</t>
  </si>
  <si>
    <t>Module shell</t>
  </si>
  <si>
    <t>Present a clear Knowledge Base page hierarchy</t>
  </si>
  <si>
    <t>Confirm the page heading, provider choices, existing bases and primary actions are immediately understandable.</t>
  </si>
  <si>
    <t xml:space="preserve">1. The tester is authenticated in an approved DEV or UAT business.
2. Only synthetic Knowledge Base data and documents are used.</t>
  </si>
  <si>
    <t xml:space="preserve">1. Open Knowledge Base without interacting.
2. Identify the heading, provider cards, existing content and primary action.
3. Traverse landmarks and controls using the keyboard.</t>
  </si>
  <si>
    <t>Synthetic Knowledge Base fixture; Chrome; viewport 1440 x 900.</t>
  </si>
  <si>
    <t>The module has one clear heading, logical landmarks, an obvious starting action and a focus order matching the visual hierarchy.</t>
  </si>
  <si>
    <t>UI</t>
  </si>
  <si>
    <t>Manual visual, keyboard and interaction review with screenshot evidence.</t>
  </si>
  <si>
    <t>DEV, UAT and LIVE (read-only visual review)</t>
  </si>
  <si>
    <t>Non-Functional, Regression, Accessibility</t>
  </si>
  <si>
    <t>@non-functional @regression @a11y @knowledge @manual @ui</t>
  </si>
  <si>
    <t>Not Run</t>
  </si>
  <si>
    <t>KB-UX-002</t>
  </si>
  <si>
    <t>Initial loading</t>
  </si>
  <si>
    <t>Show stable and informative loading feedback</t>
  </si>
  <si>
    <t>Ensure delayed provider and Knowledge Base loading never resembles an empty or broken state.</t>
  </si>
  <si>
    <t xml:space="preserve">1. Throttle the network.
2. Open Knowledge Base.
3. Observe progress, announcements and layout movement until ready.</t>
  </si>
  <si>
    <t>Slow 3G; 1440 x 900; populated business.</t>
  </si>
  <si>
    <t>A recognizable progress state appears, is announced once, avoids false empty messaging and introduces minimal layout shift.</t>
  </si>
  <si>
    <t>UX</t>
  </si>
  <si>
    <t>Network-throttled video, layout-shift and screen-reader announcement review.</t>
  </si>
  <si>
    <t>DEV and UAT</t>
  </si>
  <si>
    <t>Non-Functional, Regression</t>
  </si>
  <si>
    <t>@non-functional @regression @knowledge @manual @ux</t>
  </si>
  <si>
    <t>KB-UX-003</t>
  </si>
  <si>
    <t>Empty state</t>
  </si>
  <si>
    <t>Guide a business with no Knowledge Bases</t>
  </si>
  <si>
    <t>Verify genuine empty-state guidance explains the feature and the next safe action.</t>
  </si>
  <si>
    <t xml:space="preserve">1. An approved business with no Knowledge Bases is available.
2. The tester has the expected create permission.</t>
  </si>
  <si>
    <t xml:space="preserve">1. Open the empty module.
2. Review its heading, explanation and action.
3. Repeat with keyboard and mobile viewport.</t>
  </si>
  <si>
    <t>Zero-item business; 1440 x 900 and 390 x 844.</t>
  </si>
  <si>
    <t>The empty state differs from loading and no-results states, explains the feature plainly and exposes only authorized actions.</t>
  </si>
  <si>
    <t>@non-functional @regression @a11y @knowledge @manual @ux</t>
  </si>
  <si>
    <t>KB-UX-004</t>
  </si>
  <si>
    <t>Provider selection</t>
  </si>
  <si>
    <t>Make Qdrant and Chroma choices comparable</t>
  </si>
  <si>
    <t>Confirm users can understand the provider cards before opening configuration.</t>
  </si>
  <si>
    <t xml:space="preserve">1. Inspect Qdrant and Chroma cards.
2. Compare names, descriptions, icons and action affordances.
3. Focus and activate each card using keyboard only.</t>
  </si>
  <si>
    <t>Provider purpose and selection state are clear without color alone, cards have accessible names and activation is consistent.</t>
  </si>
  <si>
    <t>Content design</t>
  </si>
  <si>
    <t>@non-functional @regression @a11y @content-design @knowledge @manual</t>
  </si>
  <si>
    <t>KB-UX-005</t>
  </si>
  <si>
    <t>Qdrant connection dialog</t>
  </si>
  <si>
    <t>Explain Qdrant credentials and endpoint requirements</t>
  </si>
  <si>
    <t>Review the Qdrant dialog hierarchy, labels, help and safe exit paths.</t>
  </si>
  <si>
    <t xml:space="preserve">1. Open Qdrant configuration.
2. Inspect API-key and endpoint guidance.
3. Trigger required validation.
4. Close without verifying.</t>
  </si>
  <si>
    <t>Empty fields and synthetic example endpoint only.</t>
  </si>
  <si>
    <t>Labels and requirements appear before input, errors are adjacent and specific, secrets are described safely, and Close loses no unrelated page state.</t>
  </si>
  <si>
    <t>Non-Functional, Regression, Accessibility, API</t>
  </si>
  <si>
    <t>@non-functional @regression @a11y @api @knowledge @manual @ux</t>
  </si>
  <si>
    <t>KB-UX-006</t>
  </si>
  <si>
    <t>Chroma connection dialog</t>
  </si>
  <si>
    <t>Explain tenant, database and collection relationships</t>
  </si>
  <si>
    <t>Verify the Chroma configuration sequence communicates dependencies among its controls.</t>
  </si>
  <si>
    <t xml:space="preserve">1. Open Chroma configuration.
2. Inspect credential, tenant, database and collection controls.
3. Change an upstream value and review downstream state.
4. Close without saving.</t>
  </si>
  <si>
    <t>Control order follows dependency order, disabled/loading states explain why, and stale database or collection choices cannot remain selected.</t>
  </si>
  <si>
    <t>KB-UX-007</t>
  </si>
  <si>
    <t>Secret entry</t>
  </si>
  <si>
    <t>Protect provider secrets during every interaction</t>
  </si>
  <si>
    <t>Ensure API-key values cannot be casually exposed, copied by accident or retained after cancel.</t>
  </si>
  <si>
    <t xml:space="preserve">1. Enter a synthetic secret.
2. Review masking, reveal, copy and paste behavior.
3. Cancel and reopen the dialog.
4. Inspect browser history and autofill behavior.</t>
  </si>
  <si>
    <t>Synthetic token containing letters, digits and punctuation; never a real credential.</t>
  </si>
  <si>
    <t>Secrets are masked by default, reveal is intentional and announced, screenshots/autofill do not expose values, and cancel removes unsaved secret material.</t>
  </si>
  <si>
    <t>Security UX</t>
  </si>
  <si>
    <t>Manual privacy review, accessibility inspection and approved screenshot verification.</t>
  </si>
  <si>
    <t>Non-Functional, Regression, Security, Accessibility</t>
  </si>
  <si>
    <t>@non-functional @regression @security @a11y @knowledge @manual @security-ux</t>
  </si>
  <si>
    <t>KB-UX-008</t>
  </si>
  <si>
    <t>Connection verification</t>
  </si>
  <si>
    <t>Communicate verification progress, success and failure</t>
  </si>
  <si>
    <t>Confirm Verify Connection prevents duplicates and returns actionable feedback.</t>
  </si>
  <si>
    <t xml:space="preserve">1. Verify with a controlled delayed response.
2. Observe the button and dialog while pending.
3. Simulate authentication, endpoint and network failures.
4. Retry with approved synthetic configuration.</t>
  </si>
  <si>
    <t>Controlled delayed, 401/403, unreachable-host and success responses in DEV.</t>
  </si>
  <si>
    <t>Only one request runs, progress is visible and announced, failures distinguish likely causes without exposing secrets, and retry can succeed in place.</t>
  </si>
  <si>
    <t>Error recovery</t>
  </si>
  <si>
    <t>Request interception, screen recording and accessibility announcement review.</t>
  </si>
  <si>
    <t>DEV only for controlled failures; UAT success confirmation.</t>
  </si>
  <si>
    <t>@non-functional @regression @a11y @error-recovery @knowledge @manual</t>
  </si>
  <si>
    <t>KB-UX-009</t>
  </si>
  <si>
    <t>Provider dialog accessibility</t>
  </si>
  <si>
    <t>Keep focus contained and restore it on close</t>
  </si>
  <si>
    <t>Verify modal semantics and keyboard operation for both provider dialogs.</t>
  </si>
  <si>
    <t xml:space="preserve">1. Open each dialog from its provider card.
2. Traverse all controls with Tab and Shift+Tab.
3. Use Escape and Close.
4. Inspect focus after dismissal.</t>
  </si>
  <si>
    <t>The dialog has a meaningful name, focus starts logically, remains contained, every control is operable, and focus returns to the invoking card.</t>
  </si>
  <si>
    <t>Accessibility</t>
  </si>
  <si>
    <t>Keyboard-only, NVDA and browser accessibility-tree review.</t>
  </si>
  <si>
    <t>@non-functional @regression @a11y @accessibility @knowledge @manual</t>
  </si>
  <si>
    <t>KB-UX-010</t>
  </si>
  <si>
    <t>Information workflow</t>
  </si>
  <si>
    <t>Show a coherent Information-to-Initialize sequence</t>
  </si>
  <si>
    <t>Ensure users understand the order of name, index, embedding, description and initialization choices.</t>
  </si>
  <si>
    <t xml:space="preserve">1. Open the Information workflow.
2. Review control grouping and reading order.
3. Complete fields in a different order.
4. Inspect the primary action state.</t>
  </si>
  <si>
    <t>Required and optional controls are distinguishable, dependencies are clear, and Initialize becomes available only when the form is valid.</t>
  </si>
  <si>
    <t>KB-UX-011</t>
  </si>
  <si>
    <t>Knowledge Base name</t>
  </si>
  <si>
    <t>Make name requirements and errors understandable</t>
  </si>
  <si>
    <t>Review label, required state, length feedback and uniqueness guidance without repeating automated boundaries.</t>
  </si>
  <si>
    <t xml:space="preserve">1. Inspect the untouched name field.
2. Enter whitespace, a long name and a duplicate name.
3. Correct the value using keyboard only.</t>
  </si>
  <si>
    <t>Whitespace, duplicate synthetic name, and boundary-length multilingual name.</t>
  </si>
  <si>
    <t>Requirements are available before submission, errors identify the correction, focus remains stable and valid multilingual input is not corrupted.</t>
  </si>
  <si>
    <t>Form usability</t>
  </si>
  <si>
    <t>@non-functional @regression @a11y @form-usability @knowledge @manual</t>
  </si>
  <si>
    <t>KB-UX-012</t>
  </si>
  <si>
    <t>Index selection</t>
  </si>
  <si>
    <t>Differentiate index types and their consequences</t>
  </si>
  <si>
    <t>Confirm the index selector explains available choices and changes the form predictably.</t>
  </si>
  <si>
    <t xml:space="preserve">1. Open the index selector.
2. Review every option and selected state.
3. Switch options after entering dependent data.
4. Review any reset warning.</t>
  </si>
  <si>
    <t>Options have understandable names, selected state is perceivable, consequences are explained, and dependent data is not silently lost.</t>
  </si>
  <si>
    <t>KB-UX-013</t>
  </si>
  <si>
    <t>Index name</t>
  </si>
  <si>
    <t>Provide actionable index-name guidance</t>
  </si>
  <si>
    <t>Assess format guidance, validation placement and error recovery for the provider index name.</t>
  </si>
  <si>
    <t xml:space="preserve">1. Inspect help before entry.
2. Enter spaces, punctuation, a long value and a valid synthetic value.
3. Correct each error.</t>
  </si>
  <si>
    <t>Whitespace; unsupported punctuation; boundary-length values; qa-knowledge-20260921-170700.</t>
  </si>
  <si>
    <t>Allowed format and limits are clear, validation is adjacent and announced, and corrections do not clear unrelated fields.</t>
  </si>
  <si>
    <t>KB-UX-014</t>
  </si>
  <si>
    <t>Embedding model</t>
  </si>
  <si>
    <t>Help users compare embedding options</t>
  </si>
  <si>
    <t>Verify Small and Large embedding choices explain tradeoffs and selection state.</t>
  </si>
  <si>
    <t xml:space="preserve">1. Open the embedding selector.
2. Review option names and supporting information.
3. Switch between Small and Large using keyboard.
4. Inspect the final selected state.</t>
  </si>
  <si>
    <t>Options are uniquely named, tradeoffs are understandable, keyboard selection works and the committed value remains visibly selected.</t>
  </si>
  <si>
    <t>KB-UX-015</t>
  </si>
  <si>
    <t>Description disclosure</t>
  </si>
  <si>
    <t>Make optional description expansion discoverable</t>
  </si>
  <si>
    <t>Confirm + Show clearly reveals the description without shifting focus or obscuring entered data.</t>
  </si>
  <si>
    <t xml:space="preserve">1. Inspect the collapsed Information form.
2. Activate + Show by pointer and keyboard.
3. Enter multiline text.
4. Collapse or navigate away and return.</t>
  </si>
  <si>
    <t>The disclosure communicates expanded state, the field has persistent guidance, multiline content is readable and state is preserved predictably.</t>
  </si>
  <si>
    <t>KB-UX-016</t>
  </si>
  <si>
    <t>Initialization feedback</t>
  </si>
  <si>
    <t>Show safe initialization progress and completion</t>
  </si>
  <si>
    <t>Ensure a potentially long initialization gives continuous, trustworthy feedback.</t>
  </si>
  <si>
    <t xml:space="preserve">1. Initialize one approved synthetic base under throttled network.
2. Observe action state, progress and navigation.
3. Simulate a recoverable failure.
4. Retry once.</t>
  </si>
  <si>
    <t>Timestamped synthetic name; Slow 3G; one controlled failure then success.</t>
  </si>
  <si>
    <t>Duplicate submission is blocked, progress and completion are announced, failure preserves inputs, retry is available and success identifies the created base.</t>
  </si>
  <si>
    <t>DEV and UAT with approved write data</t>
  </si>
  <si>
    <t>KB-UX-017</t>
  </si>
  <si>
    <t>Tab state</t>
  </si>
  <si>
    <t>Preserve state across Information, Documents and Access</t>
  </si>
  <si>
    <t>Review whether switching tabs retains context and communicates unresolved work.</t>
  </si>
  <si>
    <t xml:space="preserve">1. Enter unsaved Information.
2. Visit Documents and Access in different orders.
3. Return to Information.
4. Use browser Back and Forward where supported.</t>
  </si>
  <si>
    <t>Values and validation remain coherent, selected tab is announced, tab order is logical and browser navigation does not create duplicate operations.</t>
  </si>
  <si>
    <t>KB-UX-018</t>
  </si>
  <si>
    <t>Unsaved changes</t>
  </si>
  <si>
    <t>Warn before abandoning meaningful edits</t>
  </si>
  <si>
    <t>Verify closing, Back, refresh and navigation protect unsaved configuration.</t>
  </si>
  <si>
    <t xml:space="preserve">1. Change multiple fields without saving.
2. Try dialog Close, page navigation, browser Back and refresh.
3. Cancel the warning once and confirm it once.</t>
  </si>
  <si>
    <t>Meaningful changes trigger a clear warning, Cancel returns to the exact state, and confirmed departure removes the draft without partial persistence.</t>
  </si>
  <si>
    <t>Error prevention</t>
  </si>
  <si>
    <t>@non-functional @regression @a11y @error-prevention @knowledge @manual</t>
  </si>
  <si>
    <t>KB-UX-019</t>
  </si>
  <si>
    <t>Documents empty state</t>
  </si>
  <si>
    <t>Explain supported document upload before selection</t>
  </si>
  <si>
    <t>Ensure Documents communicates accepted types, size limits and privacy expectations.</t>
  </si>
  <si>
    <t xml:space="preserve">1. Open Documents before any upload.
2. Review label, helper text, accepted formats and maximum size.
3. Operate the chooser using keyboard only.</t>
  </si>
  <si>
    <t>The empty state explains purpose and limits before selection, the file input has an accessible name, and no upload requires drag-and-drop alone.</t>
  </si>
  <si>
    <t>KB-UX-020</t>
  </si>
  <si>
    <t>Document upload progress</t>
  </si>
  <si>
    <t>Show progress and successful ingestion clearly</t>
  </si>
  <si>
    <t>Verify a valid synthetic document has understandable upload and processing states.</t>
  </si>
  <si>
    <t xml:space="preserve">1. Upload an approved small DOCX.
2. Observe upload and ingestion progress.
3. Navigate away and return after completion.
4. Review the final document entry.</t>
  </si>
  <si>
    <t>Synthetic DOCX below the documented limit with a non-sensitive filename.</t>
  </si>
  <si>
    <t>Filename, progress and processing state are visible and announced, completion is distinct from upload, and the final entry remains identifiable.</t>
  </si>
  <si>
    <t>DEV and UAT with approved synthetic document</t>
  </si>
  <si>
    <t>KB-UX-021</t>
  </si>
  <si>
    <t>Document upload recovery</t>
  </si>
  <si>
    <t>Recover from unsupported, oversized and interrupted uploads</t>
  </si>
  <si>
    <t>Ensure invalid and interrupted uploads fail safely without stale rows or duplicate retries.</t>
  </si>
  <si>
    <t xml:space="preserve">1. Choose unsupported and oversized files.
2. Interrupt a valid upload.
3. Review each error and retry/remove action.
4. Retry the valid document.</t>
  </si>
  <si>
    <t>Synthetic executable rename, oversized DOCX, zero-byte PDF and interrupted valid DOCX.</t>
  </si>
  <si>
    <t>Each failure is specific and nontechnical, no unsafe file is accepted, retry creates one entry and failed artifacts can be removed.</t>
  </si>
  <si>
    <t>Boundary-file, offline-network and screen-reader feedback review.</t>
  </si>
  <si>
    <t>DEV only for controlled failures</t>
  </si>
  <si>
    <t>@non-functional @regression @error-recovery @knowledge @manual</t>
  </si>
  <si>
    <t>KB-UX-022</t>
  </si>
  <si>
    <t>Document rows</t>
  </si>
  <si>
    <t>Keep metadata and actions clear for difficult filenames</t>
  </si>
  <si>
    <t>Assess document identity, metadata and row actions with long, duplicate and multilingual names.</t>
  </si>
  <si>
    <t xml:space="preserve">1. Upload approved fixtures with long, duplicate and multilingual names.
2. Inspect truncation, tooltip or accessible name.
3. Open every permitted row action.
4. Compare pointer and keyboard access.</t>
  </si>
  <si>
    <t>Long Latin filename, duplicate filenames, Devanagari, Arabic, CJK and emoji DOCX names.</t>
  </si>
  <si>
    <t>Every document remains distinguishable, full names are accessible, metadata aligns consistently and actions never depend on hover alone.</t>
  </si>
  <si>
    <t>KB-UX-023</t>
  </si>
  <si>
    <t>Documents accessibility</t>
  </si>
  <si>
    <t>Operate the complete Documents panel without a pointer</t>
  </si>
  <si>
    <t>Verify upload, rows, progress, errors and actions expose useful semantics.</t>
  </si>
  <si>
    <t xml:space="preserve">1. Traverse Documents by keyboard.
2. Upload one fixture.
3. Inspect progress and completed row with NVDA.
4. Open and close a row action.</t>
  </si>
  <si>
    <t>Labels, status changes, filenames and action names are announced once; focus stays visible and follows a logical sequence.</t>
  </si>
  <si>
    <t>Keyboard-only, NVDA and accessibility-tree inspection.</t>
  </si>
  <si>
    <t>KB-UX-024</t>
  </si>
  <si>
    <t>Access search</t>
  </si>
  <si>
    <t>Differentiate loading, no-results and search results</t>
  </si>
  <si>
    <t>Ensure employee search communicates progress and never implies a user was selected automatically.</t>
  </si>
  <si>
    <t xml:space="preserve">1. Search a valid QA email slowly and quickly.
2. Search an unmatched value.
3. Clear the query.
4. Observe results and selection count throughout.</t>
  </si>
  <si>
    <t>Approved QA employee email, unmatched value and punctuation-only query.</t>
  </si>
  <si>
    <t>Search states are distinct, results have clear identity, unmatched input selects nobody and clearing restores the initial state.</t>
  </si>
  <si>
    <t>Authorization UX</t>
  </si>
  <si>
    <t>@non-functional @regression @security @a11y @authorization-ux @knowledge @manual</t>
  </si>
  <si>
    <t>KB-UX-025</t>
  </si>
  <si>
    <t>Access selection</t>
  </si>
  <si>
    <t>Make selected users and removal unambiguous</t>
  </si>
  <si>
    <t>Review selection count, selected-user summary and removal feedback.</t>
  </si>
  <si>
    <t xml:space="preserve">1. Select two approved QA users.
2. Filter results so one selection is hidden.
3. Review Selected Users count and summary.
4. Remove both selections by keyboard.</t>
  </si>
  <si>
    <t>The count always matches unique selections, hidden selections remain discoverable, removal is clear and no user is selected twice.</t>
  </si>
  <si>
    <t>KB-UX-026</t>
  </si>
  <si>
    <t>Permission clarity</t>
  </si>
  <si>
    <t>Explain who can discover and use a Knowledge Base</t>
  </si>
  <si>
    <t>Confirm Access copy makes scope and privacy consequences understandable before Update.</t>
  </si>
  <si>
    <t xml:space="preserve">1. Review Access with zero, one and several selected users.
2. Compare the creator and restricted-viewer perspective.
3. Inspect helper text and final summary.</t>
  </si>
  <si>
    <t>Copy explains effective access and owner rights, restricted users are not implied to have access, and privacy consequences do not depend on icons alone.</t>
  </si>
  <si>
    <t>Security and authorization</t>
  </si>
  <si>
    <t>DEV and UAT with approved QA identities</t>
  </si>
  <si>
    <t>@non-functional @regression @security @a11y @knowledge @manual @security-and-authorization</t>
  </si>
  <si>
    <t>KB-UX-027</t>
  </si>
  <si>
    <t>Update feedback</t>
  </si>
  <si>
    <t>Preserve edits across delayed success and recoverable failure</t>
  </si>
  <si>
    <t>Ensure Update prevents duplicates, reports the result and retains recoverable work.</t>
  </si>
  <si>
    <t xml:space="preserve">1. Change Information and Access using synthetic data.
2. Submit under throttled network.
3. Simulate one failure and retry.
4. Reopen the item after success.</t>
  </si>
  <si>
    <t>Update runs once, pending state is clear, failure retains edits without partial save, retry succeeds and reopened values match the confirmation.</t>
  </si>
  <si>
    <t>KB-UX-028</t>
  </si>
  <si>
    <t>Delete confirmation</t>
  </si>
  <si>
    <t>Prevent deletion of the wrong Knowledge Base</t>
  </si>
  <si>
    <t>Review target naming, button hierarchy, focus and cancellation in the destructive dialog.</t>
  </si>
  <si>
    <t xml:space="preserve">1. Open Delete for an owned synthetic base.
2. Review dialog wording and initial focus.
3. Cancel with keyboard and confirm preservation.
4. Reopen only to review the confirmation control.</t>
  </si>
  <si>
    <t>One timestamped synthetic Knowledge Base owned by the session.</t>
  </si>
  <si>
    <t>The exact target is named, destructive and cancel actions are differentiated, focus is contained, Cancel preserves data and accidental Enter cannot delete.</t>
  </si>
  <si>
    <t>Error prevention and security</t>
  </si>
  <si>
    <t>Keyboard, focus and visual hierarchy review; cancel path only outside DEV.</t>
  </si>
  <si>
    <t>DEV; UAT/LIVE cancel-path review only</t>
  </si>
  <si>
    <t>@non-functional @regression @security @a11y @error-prevention-and-security @knowledge @manual</t>
  </si>
  <si>
    <t>KB-UX-029</t>
  </si>
  <si>
    <t>Status messaging</t>
  </si>
  <si>
    <t>Use consistent notifications across provider, initialize, upload and update</t>
  </si>
  <si>
    <t>Assess wording, placement, duration and accessibility of cross-workflow messages.</t>
  </si>
  <si>
    <t xml:space="preserve">1. Trigger one success, warning and recoverable error in approved fixtures.
2. Compare message position and terminology.
3. Navigate while messages appear.
4. Review announcements with NVDA.</t>
  </si>
  <si>
    <t>Messages use consistent severity and vocabulary, identify the affected object, remain long enough to understand and are announced without stealing focus.</t>
  </si>
  <si>
    <t>KB-UX-030</t>
  </si>
  <si>
    <t>End-to-end accessibility</t>
  </si>
  <si>
    <t>Complete the primary workflow with keyboard and screen reader</t>
  </si>
  <si>
    <t>Validate semantics, focus, announcements and error recovery across the whole module.</t>
  </si>
  <si>
    <t xml:space="preserve">1. Navigate providers and Information with keyboard and NVDA.
2. Trigger and correct validation.
3. Visit Documents and Access.
4. Cancel without writing.</t>
  </si>
  <si>
    <t>Headings, dialogs, tabs, fields, disclosures, validation and statuses have meaningful semantics; focus order matches the workflow and no keyboard trap exists.</t>
  </si>
  <si>
    <t>WCAG-oriented keyboard, NVDA and accessibility-tree walkthrough.</t>
  </si>
  <si>
    <t>KB-UX-031</t>
  </si>
  <si>
    <t>Responsive layout and zoom</t>
  </si>
  <si>
    <t>Keep the module usable at narrow widths and high zoom</t>
  </si>
  <si>
    <t>Verify provider cards, dialogs, tabs, file rows and actions reflow without loss.</t>
  </si>
  <si>
    <t xml:space="preserve">1. Review at desktop, tablet and mobile widths.
2. Repeat desktop at 200 and 400 percent zoom.
3. Open each dialog and tab.
4. Inspect focused controls near viewport edges.</t>
  </si>
  <si>
    <t>1440 x 900, 768 x 1024, 390 x 844; 200% and 400% zoom.</t>
  </si>
  <si>
    <t>Content reflows without page-level two-dimensional scrolling, actions remain reachable, dialogs fit vertically and focused controls are not obscured.</t>
  </si>
  <si>
    <t>Responsive UX</t>
  </si>
  <si>
    <t>Responsive-mode, zoom, keyboard and screenshot comparison.</t>
  </si>
  <si>
    <t>Non-Functional, Regression, Accessibility, Responsive</t>
  </si>
  <si>
    <t>@non-functional @regression @a11y @responsive @knowledge @manual @responsive-ux</t>
  </si>
  <si>
    <t>KB-UX-032</t>
  </si>
  <si>
    <t>Browser compatibility</t>
  </si>
  <si>
    <t>Provide consistent behavior in supported browsers</t>
  </si>
  <si>
    <t>Compare provider dialogs, selectors, file upload, tabs and confirmations across the supported matrix.</t>
  </si>
  <si>
    <t xml:space="preserve">1. Run the safe workflow in Chrome, Firefox, Edge and Safari/WebKit.
2. Compare focus, validation, selectors and file chooser behavior.
3. Capture stable states.
4. Record browser-specific differences.</t>
  </si>
  <si>
    <t>Current supported desktop browser versions; identical synthetic fixtures.</t>
  </si>
  <si>
    <t>Core behavior and semantics are equivalent, no supported browser hides actions or corrupts values, and approved differences are documented.</t>
  </si>
  <si>
    <t>Compatibility</t>
  </si>
  <si>
    <t>Cross-browser matrix with screenshots and keyboard pass.</t>
  </si>
  <si>
    <t>Non-Functional, Regression, Accessibility, Compatibility</t>
  </si>
  <si>
    <t>@non-functional @regression @a11y @compatibility @knowledge @manual</t>
  </si>
  <si>
    <t>KB-UX-033</t>
  </si>
  <si>
    <t>Performance</t>
  </si>
  <si>
    <t>Meet measurable discovery and interaction budgets</t>
  </si>
  <si>
    <t>Establish repeatable performance gates for module load, dialogs, tabs, search and document rows.</t>
  </si>
  <si>
    <t xml:space="preserve">1. Run ten cold and warm loads under a fixed profile.
2. Measure LCP, CLS and INP.
3. Measure provider dialog, tab, search and 50-document rendering.
4. Review traces for long tasks.</t>
  </si>
  <si>
    <t>Fast 4G; 4x CPU slowdown; 50 documents and 50 employees; budgets LCP &lt;=2.5s, CLS &lt;=0.10, INP &lt;=200ms, panel response &lt;=500ms.</t>
  </si>
  <si>
    <t>The 75th percentile meets each budget, long operations show feedback and every breach includes a reproducible trace.</t>
  </si>
  <si>
    <t>Chrome DevTools and Lighthouse profiling across ten controlled runs.</t>
  </si>
  <si>
    <t>Non-Functional, Regression, Performance</t>
  </si>
  <si>
    <t>@non-functional @regression @performance @knowledge @manual</t>
  </si>
  <si>
    <t>KB-UX-034</t>
  </si>
  <si>
    <t>Visual regression</t>
  </si>
  <si>
    <t>Review deterministic module states against approved baselines</t>
  </si>
  <si>
    <t>Detect unintended layout, typography, state and dialog changes before release.</t>
  </si>
  <si>
    <t xml:space="preserve">1. Capture provider cards and both dialogs.
2. Capture Information validation, Documents states, Access and delete-cancel.
3. Compare against versioned baselines.
4. Review every changed region before approval.</t>
  </si>
  <si>
    <t>Pinned Chrome/OS/fonts; fixed synthetic data; light/dark themes; desktop/mobile; animations disabled and approved masks only.</t>
  </si>
  <si>
    <t>Required images are named and traceable, stable regions stay within 0.20 percent difference, no clipping or hidden action is accepted and baseline changes require approval.</t>
  </si>
  <si>
    <t>Pixel-diff overlay followed by named human review and design approval.</t>
  </si>
  <si>
    <t>Non-Functional, Regression, Visual Regression</t>
  </si>
  <si>
    <t>@non-functional @regression @visual-regression @knowledge @manual</t>
  </si>
  <si>
    <t>KB-UX-035</t>
  </si>
  <si>
    <t>Localization</t>
  </si>
  <si>
    <t>Support expansion, RTL and multilingual authored content</t>
  </si>
  <si>
    <t>Verify translated UI and technical values remain readable and correctly directed.</t>
  </si>
  <si>
    <t xml:space="preserve">1. Run the safe workflow in an expanded pseudo-locale.
2. Repeat in RTL.
3. Enter approved multilingual names, descriptions and filenames.
4. Compare visible and accessible labels.</t>
  </si>
  <si>
    <t>35% expansion; RTL; en-IN; Devanagari, Arabic, CJK and emoji synthetic content.</t>
  </si>
  <si>
    <t>Labels wrap without overlap, RTL order is logical, URLs/index identifiers retain correct direction, authored text remains intact and no raw translation key appears.</t>
  </si>
  <si>
    <t>Pseudo-localization, RTL, responsive and screen-reader spot checks.</t>
  </si>
  <si>
    <t>Non-Functional, Regression, Responsive, Localization</t>
  </si>
  <si>
    <t>@non-functional @regression @responsive @localization @knowledge @manual</t>
  </si>
  <si>
    <t>KB-UX-036</t>
  </si>
  <si>
    <t>Exploratory UAT charter</t>
  </si>
  <si>
    <t>Explore a realistic Knowledge administrator journey</t>
  </si>
  <si>
    <t>Discover trust, comprehension, recovery and permission risks beyond scripted checks.</t>
  </si>
  <si>
    <t xml:space="preserve">1. A UAT release candidate and approved synthetic provider sandbox are available.
2. The tester has a disposable timestamped base, document and QA identities.
3. A 90-minute uninterrupted session is approved.</t>
  </si>
  <si>
    <t xml:space="preserve">1. Read the charter and risk areas.
2. Explore discovery and provider setup without scripts.
3. Create, upload, share, edit and clean up one synthetic base.
4. Introduce interruptions and recoverable mistakes.
5. Debrief findings with evidence and ownership.</t>
  </si>
  <si>
    <t>90-minute charter; administrator and restricted-viewer personas; synthetic provider, document and users.</t>
  </si>
  <si>
    <t>Coverage and gaps are logged; observations are classified with evidence and severity; no production data is touched; owned test data is cleaned up; no untriaged Critical issue remains.</t>
  </si>
  <si>
    <t>Exploratory UAT</t>
  </si>
  <si>
    <t>Session-based exploratory testing with screen recording, timestamped notes, risk map and stakeholder debrief.</t>
  </si>
  <si>
    <t>UAT release candidate only; DEV for fixture preparation</t>
  </si>
  <si>
    <t>Non-Functional, Regression, Exploratory, UAT</t>
  </si>
  <si>
    <t>@non-functional @regression @exploratory @uat @exploratory-uat @knowledge @manual</t>
  </si>
  <si>
    <t>Knowledge Coverage Summary</t>
  </si>
  <si>
    <t>Automated functionality and manual UI/UX review are tracked separately.</t>
  </si>
  <si>
    <t>Section</t>
  </si>
  <si>
    <t>Metric</t>
  </si>
  <si>
    <t>Count</t>
  </si>
  <si>
    <t>Meaning</t>
  </si>
  <si>
    <t>Overview</t>
  </si>
  <si>
    <t>Automated cases</t>
  </si>
  <si>
    <t>Current Playwright-covered behaviors.</t>
  </si>
  <si>
    <t>Manual UI/UX cases</t>
  </si>
  <si>
    <t>Human-observation and assistive-tool checks.</t>
  </si>
  <si>
    <t>Total documented cases</t>
  </si>
  <si>
    <t>Complete module test design in this workbook.</t>
  </si>
  <si>
    <t>Safety</t>
  </si>
  <si>
    <t>Automated write operations</t>
  </si>
  <si>
    <t>Automated cases that persist synthetic data.</t>
  </si>
  <si>
    <t>Manual cases awaiting execution.</t>
  </si>
  <si>
    <t>Pass</t>
  </si>
  <si>
    <t>Manual cases completed successfully.</t>
  </si>
  <si>
    <t>Fail</t>
  </si>
  <si>
    <t>Manual cases with observed defects.</t>
  </si>
  <si>
    <t>Priority coverage for P1.</t>
  </si>
  <si>
    <t>Severity coverage for Critical.</t>
  </si>
  <si>
    <t>Severity coverage for Major.</t>
  </si>
  <si>
    <t>Test suite</t>
  </si>
  <si>
    <t>30 automated and 0 manual case(s) carry @functional.</t>
  </si>
  <si>
    <t>Non-Functional</t>
  </si>
  <si>
    <t>4 automated and 36 manual case(s) carry @non-functional.</t>
  </si>
  <si>
    <t>Smoke</t>
  </si>
  <si>
    <t>1 automated and 0 manual case(s) carry @smoke.</t>
  </si>
  <si>
    <t>Production Smoke</t>
  </si>
  <si>
    <t>1 automated and 0 manual case(s) carry @prod-smoke.</t>
  </si>
  <si>
    <t>Sanity</t>
  </si>
  <si>
    <t>4 automated and 0 manual case(s) carry @sanity.</t>
  </si>
  <si>
    <t>Regression</t>
  </si>
  <si>
    <t>30 automated and 36 manual case(s) carry @regression.</t>
  </si>
  <si>
    <t>End-to-End</t>
  </si>
  <si>
    <t>8 automated and 0 manual case(s) carry @e2e.</t>
  </si>
  <si>
    <t>8 automated and 0 manual case(s) carry @integration.</t>
  </si>
  <si>
    <t>4 automated and 5 manual case(s) carry @security.</t>
  </si>
  <si>
    <t>0 automated and 30 manual case(s) carry @a11y.</t>
  </si>
  <si>
    <t>API</t>
  </si>
  <si>
    <t>4 automated and 1 manual case(s) carry @api.</t>
  </si>
  <si>
    <t>Responsive</t>
  </si>
  <si>
    <t>0 automated and 2 manual case(s) carry @responsive.</t>
  </si>
  <si>
    <t>0 automated and 1 manual case(s) carry @compatibility.</t>
  </si>
  <si>
    <t>Visual Regression</t>
  </si>
  <si>
    <t>0 automated and 1 manual case(s) carry @visual-regression.</t>
  </si>
  <si>
    <t>0 automated and 1 manual case(s) carry @performance.</t>
  </si>
  <si>
    <t>0 automated and 1 manual case(s) carry @localization.</t>
  </si>
  <si>
    <t>Exploratory</t>
  </si>
  <si>
    <t>0 automated and 1 manual case(s) carry @exploratory.</t>
  </si>
  <si>
    <t>UAT</t>
  </si>
  <si>
    <t>4 automated and 1 manual case(s) carry @uat.</t>
  </si>
  <si>
    <t>Assigned only when a specific failed case is rerun after a defect fix; intentionally zero at design time.</t>
  </si>
  <si>
    <t>Manual category</t>
  </si>
  <si>
    <t>Manual Accessibility review coverage.</t>
  </si>
  <si>
    <t>Manual Authorization UX review coverage.</t>
  </si>
  <si>
    <t>Manual Compatibility review coverage.</t>
  </si>
  <si>
    <t>Manual Content design review coverage.</t>
  </si>
  <si>
    <t>Manual Error prevention review coverage.</t>
  </si>
  <si>
    <t>Manual Error prevention and security review coverage.</t>
  </si>
  <si>
    <t>Manual Error recovery review coverage.</t>
  </si>
  <si>
    <t>Manual Exploratory UAT review coverage.</t>
  </si>
  <si>
    <t>Manual Form usability review coverage.</t>
  </si>
  <si>
    <t>Manual Localization review coverage.</t>
  </si>
  <si>
    <t>Manual Performance review coverage.</t>
  </si>
  <si>
    <t>Manual Responsive UX review coverage.</t>
  </si>
  <si>
    <t>Manual Security and authorization review coverage.</t>
  </si>
  <si>
    <t>Manual Security UX review coverage.</t>
  </si>
  <si>
    <t>Manual UI review coverage.</t>
  </si>
  <si>
    <t>Manual UX review coverage.</t>
  </si>
  <si>
    <t>Manual Visual regression review coverage.</t>
  </si>
  <si>
    <t>Field</t>
  </si>
  <si>
    <t>Sheet</t>
  </si>
  <si>
    <t>Editable During Execution</t>
  </si>
  <si>
    <t>Required</t>
  </si>
  <si>
    <t>Description</t>
  </si>
  <si>
    <t>Example</t>
  </si>
  <si>
    <t>No</t>
  </si>
  <si>
    <t>Yes</t>
  </si>
  <si>
    <t>Unique Knowledge case reference used in evidence and defects.</t>
  </si>
  <si>
    <t>KB-001 / KB-UX-001</t>
  </si>
  <si>
    <t>Page section or user journey covered by the case.</t>
  </si>
  <si>
    <t>Why the case exists and what risk it addresses.</t>
  </si>
  <si>
    <t>Verify the interface remains understandable at 200% zoom.</t>
  </si>
  <si>
    <t>Required account, data or page state before execution.</t>
  </si>
  <si>
    <t>A valid authenticated session is available.</t>
  </si>
  <si>
    <t>Numbered actions written for a human reader.</t>
  </si>
  <si>
    <t xml:space="preserve">1. Open the module.
2. Use keyboard navigation.</t>
  </si>
  <si>
    <t>Readable rendering of the existing Excel-driven test data.</t>
  </si>
  <si>
    <t>Maximum length: 100</t>
  </si>
  <si>
    <t>Manual UI UX Cases</t>
  </si>
  <si>
    <t>Browser, viewport, zoom, assistive technology or content variant.</t>
  </si>
  <si>
    <t>Chrome, 1280×720, 200% zoom</t>
  </si>
  <si>
    <t>Observable outcome used to decide Pass or Fail.</t>
  </si>
  <si>
    <t>All controls remain visible and operable without overlap.</t>
  </si>
  <si>
    <t>Category / UX Category</t>
  </si>
  <si>
    <t>Functional grouping for automation or review discipline for manual UI/UX.</t>
  </si>
  <si>
    <t>How the UI/UX case should be evaluated.</t>
  </si>
  <si>
    <t>Keyboard-only and screen-reader review</t>
  </si>
  <si>
    <t>Execution/business priority from P0 (highest) through P3.</t>
  </si>
  <si>
    <t>Expected impact if the behavior fails.</t>
  </si>
  <si>
    <t>Confirms the case is implemented in Playwright.</t>
  </si>
  <si>
    <t>YES means the automation creates, updates, uploads or deletes synthetic data.</t>
  </si>
  <si>
    <t>Registry-derived reusable suite membership. Retest is defect-specific and is not assigned statically.</t>
  </si>
  <si>
    <t>Functional, Smoke, Regression</t>
  </si>
  <si>
    <t>Automated tags are synchronized to Playwright titles. Manual tags support test-management filtering and include @manual, module and UX-category tags.</t>
  </si>
  <si>
    <t>@non-functional @regression @manual @knowledge @accessibility</t>
  </si>
  <si>
    <t>Searchable catalog labels retained from the code-first case definitions; use Execution Tags for supported Playwright suite filters.</t>
  </si>
  <si>
    <t>flow, validation, tools</t>
  </si>
  <si>
    <t>Execution outcome selected from the dropdown.</t>
  </si>
  <si>
    <t>Not Run / Pass / Fail / Blocked</t>
  </si>
  <si>
    <t>When executed</t>
  </si>
  <si>
    <t>What was actually observed, including concise evidence references.</t>
  </si>
  <si>
    <t>Focus moved behind the modal.</t>
  </si>
  <si>
    <t>Executed By / On</t>
  </si>
  <si>
    <t>Executor name and execution date.</t>
  </si>
  <si>
    <t>QA User / 2026-09-21</t>
  </si>
  <si>
    <t>On failure</t>
  </si>
  <si>
    <t>Linked defect or issue identifier.</t>
  </si>
  <si>
    <t>BUG-1234</t>
  </si>
  <si>
    <t>Additional context, browser version or evidence location.</t>
  </si>
  <si>
    <t>Reproduced in Chrome and Firefox.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</si>
</sst>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8"/>
    </font>
    <font>
      <i/>
      <color rgb="FF1F4E78"/>
      <sz val="11"/>
    </font>
    <font>
      <b/>
      <color rgb="FFFFFFFF"/>
      <sz val="10"/>
    </font>
    <font>
      <b/>
      <color rgb="FF17365D"/>
    </font>
    <font>
      <sz val="10"/>
    </font>
    <font>
      <sz val="9"/>
      <name val="Aptos"/>
    </font>
    <font>
      <b/>
    </font>
    <font>
      <b/>
      <color rgb="FF9C5700"/>
    </font>
    <font>
      <b/>
      <color rgb="FFFFFFFF"/>
      <sz val="17"/>
    </font>
    <font>
      <i/>
      <color rgb="FF1F4E78"/>
    </font>
    <font>
      <b/>
      <color rgb="FF548235"/>
    </font>
  </fonts>
  <fills count="7">
    <fill>
      <patternFill patternType="none"/>
    </fill>
    <fill>
      <patternFill patternType="gray125"/>
    </fill>
    <fill>
      <patternFill patternType="solid">
        <fgColor rgb="FF0F6B78"/>
      </patternFill>
    </fill>
    <fill>
      <patternFill patternType="solid">
        <fgColor rgb="FFFCE4D6"/>
      </patternFill>
    </fill>
    <fill>
      <patternFill patternType="solid">
        <fgColor rgb="FFC65911"/>
      </patternFill>
    </fill>
    <fill>
      <patternFill patternType="solid">
        <fgColor rgb="FFFFF2CC"/>
      </patternFill>
    </fill>
    <fill>
      <patternFill patternType="solid">
        <fgColor rgb="FF548235"/>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2">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2" borderId="0" xfId="0" applyFont="1" applyFill="1" applyAlignment="1">
      <alignment horizontal="center" vertical="center" wrapText="1"/>
    </xf>
    <xf numFmtId="0" fontId="0" fillId="0" borderId="0" xfId="0"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7" fillId="3" borderId="0" xfId="0" applyFont="1" applyFill="1" applyAlignment="1">
      <alignment vertical="top" wrapText="1"/>
    </xf>
    <xf numFmtId="0" fontId="5" fillId="3" borderId="0" xfId="0" applyFont="1" applyFill="1" applyAlignment="1">
      <alignment vertical="top" wrapText="1"/>
    </xf>
    <xf numFmtId="0" fontId="8" fillId="3" borderId="0" xfId="0" applyFont="1" applyFill="1" applyAlignment="1">
      <alignment vertical="top" wrapText="1"/>
    </xf>
    <xf numFmtId="0" fontId="3" fillId="4" borderId="0" xfId="0" applyFont="1" applyFill="1" applyAlignment="1">
      <alignment horizontal="center" vertical="center" wrapText="1"/>
    </xf>
    <xf numFmtId="0" fontId="5" fillId="5" borderId="0" xfId="0" applyFont="1" applyFill="1" applyAlignment="1">
      <alignment vertical="top" wrapText="1"/>
    </xf>
    <xf numFmtId="0" fontId="9" fillId="6" borderId="0" xfId="0" applyFont="1" applyFill="1" applyAlignment="1">
      <alignment horizontal="left" vertical="center"/>
    </xf>
    <xf numFmtId="0" fontId="10" fillId="0" borderId="0" xfId="0" applyFont="1"/>
    <xf numFmtId="0" fontId="3" fillId="6" borderId="0" xfId="0" applyFont="1" applyFill="1" applyAlignment="1">
      <alignment horizontal="center" vertical="center" wrapText="1"/>
    </xf>
    <xf numFmtId="0" fontId="0" fillId="0" borderId="0" xfId="0"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1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KnowledgeAutomatedCases" displayName="KnowledgeAutomatedCases" ref="A1:V31" totalsRowShown="1" headerRowCount="1">
  <autoFilter ref="A1:V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Inputs" totalsRowFunction="none"/>
    <tableColumn id="10" name="Expected Result" totalsRowFunction="none"/>
    <tableColumn id="11" name="Category" totalsRowFunction="none"/>
    <tableColumn id="12" name="Scenario Type" totalsRowFunction="none"/>
    <tableColumn id="13" name="Priority" totalsRowFunction="none"/>
    <tableColumn id="14" name="Severity" totalsRowFunction="none"/>
    <tableColumn id="15" name="Automation Status" totalsRowFunction="none"/>
    <tableColumn id="16" name="Write Operation" totalsRowFunction="none"/>
    <tableColumn id="17" name="Environment" totalsRowFunction="none"/>
    <tableColumn id="18" name="Test Suites" totalsRowFunction="none"/>
    <tableColumn id="19" name="Execution Tags" totalsRowFunction="none"/>
    <tableColumn id="20" name="Tags" totalsRowFunction="none"/>
    <tableColumn id="21" name="Source" totalsRowFunction="none"/>
    <tableColumn id="22" name="Notes"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KnowledgeManualUiUxCases" displayName="KnowledgeManualUiUxCases" ref="A1:W37" totalsRowShown="1" headerRowCount="1">
  <autoFilter ref="A1:W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Viewport" totalsRowFunction="none"/>
    <tableColumn id="10" name="Expected Result" totalsRowFunction="none"/>
    <tableColumn id="11" name="UX Category" totalsRowFunction="none"/>
    <tableColumn id="12" name="Review Method" totalsRowFunction="none"/>
    <tableColumn id="13" name="Priority" totalsRowFunction="none"/>
    <tableColumn id="14" name="Severity" totalsRowFunction="none"/>
    <tableColumn id="15" name="Recommended Environment" totalsRowFunction="none"/>
    <tableColumn id="16" name="Test Suites" totalsRowFunction="none"/>
    <tableColumn id="17" name="Execution Tags" totalsRowFunction="none"/>
    <tableColumn id="18" name="Status" totalsRowFunction="none"/>
    <tableColumn id="19" name="Actual Result" totalsRowFunction="none"/>
    <tableColumn id="20" name="Executed By" totalsRowFunction="none"/>
    <tableColumn id="21" name="Executed On" totalsRowFunction="none"/>
    <tableColumn id="22" name="Defect ID" totalsRowFunction="none"/>
    <tableColumn id="23" name="Remarks" totalsRowFunction="no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KnowledgeUiUxFieldReference" displayName="KnowledgeUiUxFieldReference" ref="A1:F23" totalsRowShown="1" headerRowCount="1">
  <autoFilter ref="A1:F23">
    <filterColumn colId="0" hiddenButton="1"/>
    <filterColumn colId="1" hiddenButton="1"/>
    <filterColumn colId="2" hiddenButton="1"/>
    <filterColumn colId="3" hiddenButton="1"/>
    <filterColumn colId="4" hiddenButton="1"/>
    <filterColumn colId="5" hiddenButton="1"/>
  </autoFilter>
  <tableColumns count="6">
    <tableColumn id="1" name="Field" totalsRowLabel="Total"/>
    <tableColumn id="2" name="Sheet" totalsRowFunction="none"/>
    <tableColumn id="3" name="Editable During Execution" totalsRowFunction="none"/>
    <tableColumn id="4" name="Required" totalsRowFunction="none"/>
    <tableColumn id="5" name="Description" totalsRowFunction="none"/>
    <tableColumn id="6" name="Example" totalsRowFunction="non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78"/>
    <pageSetUpPr fitToPage="1"/>
  </sheetPr>
  <dimension ref="A1:C25"/>
  <sheetViews>
    <sheetView workbookViewId="0" showGridLines="0">
      <pane ySplit="4" topLeftCell="A5" activePane="bottomLeft" state="frozen"/>
      <selection pane="bottomLeft"/>
    </sheetView>
  </sheetViews>
  <sheetFormatPr defaultRowHeight="15" outlineLevelRow="0" outlineLevelCol="0" x14ac:dyDescent="55"/>
  <cols>
    <col min="1" max="1" width="28" customWidth="1"/>
    <col min="2" max="2" width="108" customWidth="1"/>
    <col min="3" max="3" width="25" customWidth="1"/>
  </cols>
  <sheetData>
    <row r="1" ht="34" customHeight="1" spans="1:3" x14ac:dyDescent="0.25">
      <c r="A1" s="1" t="s">
        <v>0</v>
      </c>
      <c r="B1" s="1"/>
      <c r="C1" s="1"/>
    </row>
    <row r="2" ht="24" customHeight="1" spans="1:3" x14ac:dyDescent="0.25">
      <c r="A2" s="2" t="s">
        <v>1</v>
      </c>
      <c r="B2" s="2"/>
      <c r="C2" s="2"/>
    </row>
    <row r="3" spans="1:3" x14ac:dyDescent="0.25"/>
    <row r="4" ht="30" customHeight="1" spans="1:3" s="3" customFormat="1" x14ac:dyDescent="0.25">
      <c r="A4" s="3" t="s">
        <v>2</v>
      </c>
      <c r="B4" s="3" t="s">
        <v>3</v>
      </c>
      <c r="C4" s="3" t="s">
        <v>4</v>
      </c>
    </row>
    <row r="5" ht="36" customHeight="1" spans="1:3" s="4" customFormat="1" x14ac:dyDescent="0.25">
      <c r="A5" s="5" t="s">
        <v>5</v>
      </c>
      <c r="B5" s="6" t="s">
        <v>6</v>
      </c>
      <c r="C5" s="6" t="s">
        <v>7</v>
      </c>
    </row>
    <row r="6" ht="36" customHeight="1" spans="1:3" s="4" customFormat="1" x14ac:dyDescent="0.25">
      <c r="A6" s="5" t="s">
        <v>8</v>
      </c>
      <c r="B6" s="6" t="s">
        <v>9</v>
      </c>
      <c r="C6" s="6" t="s">
        <v>10</v>
      </c>
    </row>
    <row r="7" ht="36" customHeight="1" spans="1:3" s="4" customFormat="1" x14ac:dyDescent="0.25">
      <c r="A7" s="5" t="s">
        <v>11</v>
      </c>
      <c r="B7" s="6" t="s">
        <v>12</v>
      </c>
      <c r="C7" s="6" t="s">
        <v>13</v>
      </c>
    </row>
    <row r="8" ht="36" customHeight="1" spans="1:3" s="4" customFormat="1" x14ac:dyDescent="0.25">
      <c r="A8" s="5" t="s">
        <v>14</v>
      </c>
      <c r="B8" s="6" t="s">
        <v>15</v>
      </c>
      <c r="C8" s="6" t="s">
        <v>14</v>
      </c>
    </row>
    <row r="9" ht="36" customHeight="1" spans="1:3" s="4" customFormat="1" x14ac:dyDescent="0.25">
      <c r="A9" s="5" t="s">
        <v>16</v>
      </c>
      <c r="B9" s="6" t="s">
        <v>17</v>
      </c>
      <c r="C9" s="6" t="s">
        <v>16</v>
      </c>
    </row>
    <row r="10" ht="36" customHeight="1" spans="1:3" s="4" customFormat="1" x14ac:dyDescent="0.25">
      <c r="A10" s="5" t="s">
        <v>18</v>
      </c>
      <c r="B10" s="6" t="s">
        <v>19</v>
      </c>
      <c r="C10" s="6" t="s">
        <v>13</v>
      </c>
    </row>
    <row r="11" ht="36" customHeight="1" spans="1:3" s="4" customFormat="1" x14ac:dyDescent="0.25">
      <c r="A11" s="5" t="s">
        <v>20</v>
      </c>
      <c r="B11" s="6" t="s">
        <v>21</v>
      </c>
      <c r="C11" s="6" t="s">
        <v>16</v>
      </c>
    </row>
    <row r="12" ht="36" customHeight="1" spans="1:3" s="4" customFormat="1" x14ac:dyDescent="0.25">
      <c r="A12" s="5" t="s">
        <v>22</v>
      </c>
      <c r="B12" s="6" t="s">
        <v>23</v>
      </c>
      <c r="C12" s="6" t="s">
        <v>16</v>
      </c>
    </row>
    <row r="13" ht="36" customHeight="1" spans="1:3" s="4" customFormat="1" x14ac:dyDescent="0.25">
      <c r="A13" s="5" t="s">
        <v>24</v>
      </c>
      <c r="B13" s="6" t="s">
        <v>25</v>
      </c>
      <c r="C13" s="6" t="s">
        <v>26</v>
      </c>
    </row>
    <row r="14" ht="36" customHeight="1" spans="1:3" s="4" customFormat="1" x14ac:dyDescent="0.25">
      <c r="A14" s="5" t="s">
        <v>27</v>
      </c>
      <c r="B14" s="6" t="s">
        <v>28</v>
      </c>
      <c r="C14" s="6" t="s">
        <v>29</v>
      </c>
    </row>
    <row r="15" ht="36" customHeight="1" spans="1:3" s="4" customFormat="1" x14ac:dyDescent="0.25">
      <c r="A15" s="5" t="s">
        <v>30</v>
      </c>
      <c r="B15" s="6" t="s">
        <v>31</v>
      </c>
      <c r="C15" s="6" t="s">
        <v>29</v>
      </c>
    </row>
    <row r="16" ht="36" customHeight="1" spans="1:3" s="4" customFormat="1" x14ac:dyDescent="0.25">
      <c r="A16" s="5" t="s">
        <v>32</v>
      </c>
      <c r="B16" s="6" t="s">
        <v>33</v>
      </c>
      <c r="C16" s="6" t="s">
        <v>14</v>
      </c>
    </row>
    <row r="17" ht="36" customHeight="1" spans="1:3" s="4" customFormat="1" x14ac:dyDescent="0.25">
      <c r="A17" s="5" t="s">
        <v>34</v>
      </c>
      <c r="B17" s="6" t="s">
        <v>35</v>
      </c>
      <c r="C17" s="6" t="s">
        <v>14</v>
      </c>
    </row>
    <row r="18" ht="36" customHeight="1" spans="1:3" s="4" customFormat="1" x14ac:dyDescent="0.25">
      <c r="A18" s="5" t="s">
        <v>36</v>
      </c>
      <c r="B18" s="6" t="s">
        <v>37</v>
      </c>
      <c r="C18" s="6" t="s">
        <v>16</v>
      </c>
    </row>
    <row r="19" ht="36" customHeight="1" spans="1:3" s="4" customFormat="1" x14ac:dyDescent="0.25">
      <c r="A19" s="5" t="s">
        <v>38</v>
      </c>
      <c r="B19" s="6" t="s">
        <v>39</v>
      </c>
      <c r="C19" s="6" t="s">
        <v>40</v>
      </c>
    </row>
    <row r="20" ht="36" customHeight="1" spans="1:3" s="4" customFormat="1" x14ac:dyDescent="0.25">
      <c r="A20" s="5" t="s">
        <v>41</v>
      </c>
      <c r="B20" s="6" t="s">
        <v>42</v>
      </c>
      <c r="C20" s="6" t="s">
        <v>43</v>
      </c>
    </row>
    <row r="21" ht="36" customHeight="1" spans="1:3" s="4" customFormat="1" x14ac:dyDescent="0.25">
      <c r="A21" s="5" t="s">
        <v>44</v>
      </c>
      <c r="B21" s="6" t="s">
        <v>45</v>
      </c>
      <c r="C21" s="6" t="s">
        <v>46</v>
      </c>
    </row>
    <row r="22" ht="36" customHeight="1" spans="1:3" s="4" customFormat="1" x14ac:dyDescent="0.25">
      <c r="A22" s="5" t="s">
        <v>47</v>
      </c>
      <c r="B22" s="6" t="s">
        <v>48</v>
      </c>
      <c r="C22" s="6" t="s">
        <v>49</v>
      </c>
    </row>
    <row r="23" ht="36" customHeight="1" spans="1:3" s="4" customFormat="1" x14ac:dyDescent="0.25">
      <c r="A23" s="5" t="s">
        <v>50</v>
      </c>
      <c r="B23" s="6" t="s">
        <v>51</v>
      </c>
      <c r="C23" s="6" t="s">
        <v>52</v>
      </c>
    </row>
    <row r="24" ht="36" customHeight="1" spans="1:3" s="4" customFormat="1" x14ac:dyDescent="0.25">
      <c r="A24" s="5" t="s">
        <v>53</v>
      </c>
      <c r="B24" s="6" t="s">
        <v>54</v>
      </c>
      <c r="C24" s="6" t="s">
        <v>55</v>
      </c>
    </row>
    <row r="25" ht="36" customHeight="1" spans="1:3" s="4" customFormat="1" x14ac:dyDescent="0.25">
      <c r="A25" s="5" t="s">
        <v>56</v>
      </c>
      <c r="B25" s="6" t="s">
        <v>57</v>
      </c>
      <c r="C25" s="6" t="s">
        <v>58</v>
      </c>
    </row>
  </sheetData>
  <autoFilter ref="A4:C4"/>
  <mergeCells count="2">
    <mergeCell ref="A1:C1"/>
    <mergeCell ref="A2:C2"/>
  </mergeCells>
  <pageMargins left="0.25" right="0.25" top="0.5" bottom="0.5" header="0.2" footer="0.2"/>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pageSetUpPr fitToPage="1"/>
  </sheetPr>
  <dimension ref="A1:V31"/>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3" width="15" customWidth="1"/>
    <col min="4" max="4" width="30" customWidth="1"/>
    <col min="5" max="5" width="46" customWidth="1"/>
    <col min="6" max="6" width="54" customWidth="1"/>
    <col min="7" max="7" width="52" customWidth="1"/>
    <col min="8" max="8" width="66" customWidth="1"/>
    <col min="9" max="9" width="58" customWidth="1"/>
    <col min="10" max="10" width="62" customWidth="1"/>
    <col min="11" max="11" width="20" customWidth="1"/>
    <col min="12" max="12" width="22" customWidth="1"/>
    <col min="13" max="13" width="10" customWidth="1"/>
    <col min="14" max="14" width="12" customWidth="1"/>
    <col min="15" max="15" width="18" customWidth="1"/>
    <col min="16" max="16" width="16" customWidth="1"/>
    <col min="17" max="17" width="30" customWidth="1"/>
    <col min="18" max="18" width="42" customWidth="1"/>
    <col min="19" max="19" width="54" customWidth="1"/>
    <col min="20" max="20" width="40" customWidth="1"/>
    <col min="21" max="21" width="31" customWidth="1"/>
    <col min="22" max="22" width="35" customWidth="1"/>
  </cols>
  <sheetData>
    <row r="1" ht="30" customHeight="1" spans="1:22" s="3" customFormat="1" x14ac:dyDescent="0.25">
      <c r="A1" s="3" t="s">
        <v>59</v>
      </c>
      <c r="B1" s="3" t="s">
        <v>60</v>
      </c>
      <c r="C1" s="3" t="s">
        <v>61</v>
      </c>
      <c r="D1" s="3" t="s">
        <v>62</v>
      </c>
      <c r="E1" s="3" t="s">
        <v>63</v>
      </c>
      <c r="F1" s="3" t="s">
        <v>64</v>
      </c>
      <c r="G1" s="3" t="s">
        <v>65</v>
      </c>
      <c r="H1" s="3" t="s">
        <v>66</v>
      </c>
      <c r="I1" s="3" t="s">
        <v>67</v>
      </c>
      <c r="J1" s="3" t="s">
        <v>68</v>
      </c>
      <c r="K1" s="3" t="s">
        <v>69</v>
      </c>
      <c r="L1" s="3" t="s">
        <v>70</v>
      </c>
      <c r="M1" s="3" t="s">
        <v>71</v>
      </c>
      <c r="N1" s="3" t="s">
        <v>72</v>
      </c>
      <c r="O1" s="3" t="s">
        <v>73</v>
      </c>
      <c r="P1" s="3" t="s">
        <v>74</v>
      </c>
      <c r="Q1" s="3" t="s">
        <v>75</v>
      </c>
      <c r="R1" s="3" t="s">
        <v>27</v>
      </c>
      <c r="S1" s="3" t="s">
        <v>30</v>
      </c>
      <c r="T1" s="3" t="s">
        <v>76</v>
      </c>
      <c r="U1" s="3" t="s">
        <v>77</v>
      </c>
      <c r="V1" s="3" t="s">
        <v>78</v>
      </c>
    </row>
    <row r="2" ht="76" customHeight="1" spans="1:22" s="7" customFormat="1" x14ac:dyDescent="0.25">
      <c r="A2" s="7">
        <v>1</v>
      </c>
      <c r="B2" s="8" t="s">
        <v>79</v>
      </c>
      <c r="C2" s="7" t="s">
        <v>80</v>
      </c>
      <c r="D2" s="7" t="s">
        <v>81</v>
      </c>
      <c r="E2" s="7" t="s">
        <v>82</v>
      </c>
      <c r="F2" s="7" t="s">
        <v>83</v>
      </c>
      <c r="G2" s="7" t="s">
        <v>84</v>
      </c>
      <c r="H2" s="7" t="s">
        <v>85</v>
      </c>
      <c r="I2" s="9" t="s">
        <v>86</v>
      </c>
      <c r="J2" s="7" t="s">
        <v>87</v>
      </c>
      <c r="K2" s="7" t="s">
        <v>88</v>
      </c>
      <c r="L2" s="7" t="s">
        <v>89</v>
      </c>
      <c r="M2" s="10" t="s">
        <v>90</v>
      </c>
      <c r="N2" s="7" t="s">
        <v>91</v>
      </c>
      <c r="O2" s="7" t="s">
        <v>92</v>
      </c>
      <c r="P2" s="7" t="s">
        <v>93</v>
      </c>
      <c r="Q2" s="7" t="s">
        <v>94</v>
      </c>
      <c r="R2" s="7" t="s">
        <v>95</v>
      </c>
      <c r="S2" s="7" t="s">
        <v>96</v>
      </c>
      <c r="T2" s="7" t="s">
        <v>97</v>
      </c>
      <c r="U2" s="7" t="s">
        <v>98</v>
      </c>
      <c r="V2" s="7" t="s">
        <v>99</v>
      </c>
    </row>
    <row r="3" ht="76" customHeight="1" spans="1:22" s="7" customFormat="1" x14ac:dyDescent="0.25">
      <c r="A3" s="7">
        <v>2</v>
      </c>
      <c r="B3" s="8" t="s">
        <v>100</v>
      </c>
      <c r="C3" s="7" t="s">
        <v>80</v>
      </c>
      <c r="D3" s="7" t="s">
        <v>101</v>
      </c>
      <c r="E3" s="7" t="s">
        <v>102</v>
      </c>
      <c r="F3" s="7" t="s">
        <v>103</v>
      </c>
      <c r="G3" s="7" t="s">
        <v>104</v>
      </c>
      <c r="H3" s="7" t="s">
        <v>105</v>
      </c>
      <c r="I3" s="9" t="s">
        <v>106</v>
      </c>
      <c r="J3" s="7" t="s">
        <v>107</v>
      </c>
      <c r="K3" s="7" t="s">
        <v>88</v>
      </c>
      <c r="L3" s="7" t="s">
        <v>89</v>
      </c>
      <c r="M3" s="10" t="s">
        <v>90</v>
      </c>
      <c r="N3" s="7" t="s">
        <v>91</v>
      </c>
      <c r="O3" s="7" t="s">
        <v>92</v>
      </c>
      <c r="P3" s="7" t="s">
        <v>93</v>
      </c>
      <c r="Q3" s="7" t="s">
        <v>94</v>
      </c>
      <c r="R3" s="7" t="s">
        <v>108</v>
      </c>
      <c r="S3" s="7" t="s">
        <v>109</v>
      </c>
      <c r="T3" s="7" t="s">
        <v>110</v>
      </c>
      <c r="U3" s="7" t="s">
        <v>98</v>
      </c>
      <c r="V3" s="7" t="s">
        <v>99</v>
      </c>
    </row>
    <row r="4" ht="76" customHeight="1" spans="1:22" s="7" customFormat="1" x14ac:dyDescent="0.25">
      <c r="A4" s="7">
        <v>3</v>
      </c>
      <c r="B4" s="8" t="s">
        <v>111</v>
      </c>
      <c r="C4" s="7" t="s">
        <v>80</v>
      </c>
      <c r="D4" s="7" t="s">
        <v>112</v>
      </c>
      <c r="E4" s="7" t="s">
        <v>113</v>
      </c>
      <c r="F4" s="7" t="s">
        <v>114</v>
      </c>
      <c r="G4" s="7" t="s">
        <v>84</v>
      </c>
      <c r="H4" s="7" t="s">
        <v>115</v>
      </c>
      <c r="I4" s="9" t="s">
        <v>116</v>
      </c>
      <c r="J4" s="7" t="s">
        <v>117</v>
      </c>
      <c r="K4" s="7" t="s">
        <v>88</v>
      </c>
      <c r="L4" s="7" t="s">
        <v>89</v>
      </c>
      <c r="M4" s="10" t="s">
        <v>90</v>
      </c>
      <c r="N4" s="7" t="s">
        <v>91</v>
      </c>
      <c r="O4" s="7" t="s">
        <v>92</v>
      </c>
      <c r="P4" s="7" t="s">
        <v>93</v>
      </c>
      <c r="Q4" s="7" t="s">
        <v>94</v>
      </c>
      <c r="R4" s="7" t="s">
        <v>118</v>
      </c>
      <c r="S4" s="7" t="s">
        <v>119</v>
      </c>
      <c r="T4" s="7" t="s">
        <v>120</v>
      </c>
      <c r="U4" s="7" t="s">
        <v>98</v>
      </c>
      <c r="V4" s="7" t="s">
        <v>99</v>
      </c>
    </row>
    <row r="5" ht="76" customHeight="1" spans="1:22" s="7" customFormat="1" x14ac:dyDescent="0.25">
      <c r="A5" s="7">
        <v>4</v>
      </c>
      <c r="B5" s="8" t="s">
        <v>121</v>
      </c>
      <c r="C5" s="7" t="s">
        <v>80</v>
      </c>
      <c r="D5" s="7" t="s">
        <v>122</v>
      </c>
      <c r="E5" s="7" t="s">
        <v>123</v>
      </c>
      <c r="F5" s="7" t="s">
        <v>124</v>
      </c>
      <c r="G5" s="7" t="s">
        <v>84</v>
      </c>
      <c r="H5" s="7" t="s">
        <v>125</v>
      </c>
      <c r="I5" s="9" t="s">
        <v>126</v>
      </c>
      <c r="J5" s="7" t="s">
        <v>127</v>
      </c>
      <c r="K5" s="7" t="s">
        <v>88</v>
      </c>
      <c r="L5" s="7" t="s">
        <v>128</v>
      </c>
      <c r="M5" s="10" t="s">
        <v>90</v>
      </c>
      <c r="N5" s="11" t="s">
        <v>129</v>
      </c>
      <c r="O5" s="7" t="s">
        <v>92</v>
      </c>
      <c r="P5" s="7" t="s">
        <v>93</v>
      </c>
      <c r="Q5" s="7" t="s">
        <v>94</v>
      </c>
      <c r="R5" s="7" t="s">
        <v>130</v>
      </c>
      <c r="S5" s="7" t="s">
        <v>131</v>
      </c>
      <c r="T5" s="7" t="s">
        <v>132</v>
      </c>
      <c r="U5" s="7" t="s">
        <v>98</v>
      </c>
      <c r="V5" s="7" t="s">
        <v>99</v>
      </c>
    </row>
    <row r="6" ht="76" customHeight="1" spans="1:22" s="7" customFormat="1" x14ac:dyDescent="0.25">
      <c r="A6" s="7">
        <v>5</v>
      </c>
      <c r="B6" s="8" t="s">
        <v>133</v>
      </c>
      <c r="C6" s="7" t="s">
        <v>80</v>
      </c>
      <c r="D6" s="7" t="s">
        <v>134</v>
      </c>
      <c r="E6" s="7" t="s">
        <v>135</v>
      </c>
      <c r="F6" s="7" t="s">
        <v>136</v>
      </c>
      <c r="G6" s="7" t="s">
        <v>137</v>
      </c>
      <c r="H6" s="7" t="s">
        <v>138</v>
      </c>
      <c r="I6" s="9" t="s">
        <v>139</v>
      </c>
      <c r="J6" s="7" t="s">
        <v>140</v>
      </c>
      <c r="K6" s="7" t="s">
        <v>141</v>
      </c>
      <c r="L6" s="7" t="s">
        <v>89</v>
      </c>
      <c r="M6" s="10" t="s">
        <v>90</v>
      </c>
      <c r="N6" s="11" t="s">
        <v>129</v>
      </c>
      <c r="O6" s="7" t="s">
        <v>92</v>
      </c>
      <c r="P6" s="7" t="s">
        <v>93</v>
      </c>
      <c r="Q6" s="7" t="s">
        <v>94</v>
      </c>
      <c r="R6" s="7" t="s">
        <v>142</v>
      </c>
      <c r="S6" s="7" t="s">
        <v>143</v>
      </c>
      <c r="T6" s="7" t="s">
        <v>144</v>
      </c>
      <c r="U6" s="7" t="s">
        <v>98</v>
      </c>
      <c r="V6" s="7" t="s">
        <v>99</v>
      </c>
    </row>
    <row r="7" ht="76" customHeight="1" spans="1:22" s="7" customFormat="1" x14ac:dyDescent="0.25">
      <c r="A7" s="7">
        <v>6</v>
      </c>
      <c r="B7" s="8" t="s">
        <v>145</v>
      </c>
      <c r="C7" s="7" t="s">
        <v>80</v>
      </c>
      <c r="D7" s="7" t="s">
        <v>146</v>
      </c>
      <c r="E7" s="7" t="s">
        <v>147</v>
      </c>
      <c r="F7" s="7" t="s">
        <v>148</v>
      </c>
      <c r="G7" s="7" t="s">
        <v>84</v>
      </c>
      <c r="H7" s="7" t="s">
        <v>149</v>
      </c>
      <c r="I7" s="9" t="s">
        <v>150</v>
      </c>
      <c r="J7" s="7" t="s">
        <v>151</v>
      </c>
      <c r="K7" s="7" t="s">
        <v>88</v>
      </c>
      <c r="L7" s="7" t="s">
        <v>89</v>
      </c>
      <c r="M7" s="10" t="s">
        <v>90</v>
      </c>
      <c r="N7" s="7" t="s">
        <v>91</v>
      </c>
      <c r="O7" s="7" t="s">
        <v>92</v>
      </c>
      <c r="P7" s="7" t="s">
        <v>93</v>
      </c>
      <c r="Q7" s="7" t="s">
        <v>94</v>
      </c>
      <c r="R7" s="7" t="s">
        <v>118</v>
      </c>
      <c r="S7" s="7" t="s">
        <v>119</v>
      </c>
      <c r="T7" s="7" t="s">
        <v>152</v>
      </c>
      <c r="U7" s="7" t="s">
        <v>98</v>
      </c>
      <c r="V7" s="7" t="s">
        <v>99</v>
      </c>
    </row>
    <row r="8" ht="76" customHeight="1" spans="1:22" s="7" customFormat="1" x14ac:dyDescent="0.25">
      <c r="A8" s="7">
        <v>7</v>
      </c>
      <c r="B8" s="8" t="s">
        <v>153</v>
      </c>
      <c r="C8" s="7" t="s">
        <v>80</v>
      </c>
      <c r="D8" s="7" t="s">
        <v>154</v>
      </c>
      <c r="E8" s="7" t="s">
        <v>155</v>
      </c>
      <c r="F8" s="7" t="s">
        <v>156</v>
      </c>
      <c r="G8" s="7" t="s">
        <v>84</v>
      </c>
      <c r="H8" s="7" t="s">
        <v>157</v>
      </c>
      <c r="I8" s="9" t="s">
        <v>158</v>
      </c>
      <c r="J8" s="7" t="s">
        <v>159</v>
      </c>
      <c r="K8" s="7" t="s">
        <v>88</v>
      </c>
      <c r="L8" s="7" t="s">
        <v>160</v>
      </c>
      <c r="M8" s="10" t="s">
        <v>90</v>
      </c>
      <c r="N8" s="7" t="s">
        <v>91</v>
      </c>
      <c r="O8" s="7" t="s">
        <v>92</v>
      </c>
      <c r="P8" s="7" t="s">
        <v>93</v>
      </c>
      <c r="Q8" s="7" t="s">
        <v>94</v>
      </c>
      <c r="R8" s="7" t="s">
        <v>118</v>
      </c>
      <c r="S8" s="7" t="s">
        <v>119</v>
      </c>
      <c r="T8" s="7" t="s">
        <v>161</v>
      </c>
      <c r="U8" s="7" t="s">
        <v>98</v>
      </c>
      <c r="V8" s="7" t="s">
        <v>99</v>
      </c>
    </row>
    <row r="9" ht="76" customHeight="1" spans="1:22" s="7" customFormat="1" x14ac:dyDescent="0.25">
      <c r="A9" s="7">
        <v>8</v>
      </c>
      <c r="B9" s="8" t="s">
        <v>162</v>
      </c>
      <c r="C9" s="7" t="s">
        <v>80</v>
      </c>
      <c r="D9" s="7" t="s">
        <v>163</v>
      </c>
      <c r="E9" s="7" t="s">
        <v>164</v>
      </c>
      <c r="F9" s="7" t="s">
        <v>165</v>
      </c>
      <c r="G9" s="7" t="s">
        <v>166</v>
      </c>
      <c r="H9" s="7" t="s">
        <v>167</v>
      </c>
      <c r="I9" s="9" t="s">
        <v>168</v>
      </c>
      <c r="J9" s="7" t="s">
        <v>169</v>
      </c>
      <c r="K9" s="7" t="s">
        <v>141</v>
      </c>
      <c r="L9" s="7" t="s">
        <v>89</v>
      </c>
      <c r="M9" s="10" t="s">
        <v>90</v>
      </c>
      <c r="N9" s="7" t="s">
        <v>91</v>
      </c>
      <c r="O9" s="7" t="s">
        <v>92</v>
      </c>
      <c r="P9" s="7" t="s">
        <v>93</v>
      </c>
      <c r="Q9" s="7" t="s">
        <v>94</v>
      </c>
      <c r="R9" s="7" t="s">
        <v>142</v>
      </c>
      <c r="S9" s="7" t="s">
        <v>143</v>
      </c>
      <c r="T9" s="7" t="s">
        <v>170</v>
      </c>
      <c r="U9" s="7" t="s">
        <v>98</v>
      </c>
      <c r="V9" s="7" t="s">
        <v>99</v>
      </c>
    </row>
    <row r="10" ht="76" customHeight="1" spans="1:22" s="7" customFormat="1" x14ac:dyDescent="0.25">
      <c r="A10" s="7">
        <v>9</v>
      </c>
      <c r="B10" s="8" t="s">
        <v>171</v>
      </c>
      <c r="C10" s="7" t="s">
        <v>80</v>
      </c>
      <c r="D10" s="7" t="s">
        <v>172</v>
      </c>
      <c r="E10" s="7" t="s">
        <v>173</v>
      </c>
      <c r="F10" s="7" t="s">
        <v>174</v>
      </c>
      <c r="G10" s="7" t="s">
        <v>175</v>
      </c>
      <c r="H10" s="7" t="s">
        <v>176</v>
      </c>
      <c r="I10" s="9" t="s">
        <v>177</v>
      </c>
      <c r="J10" s="7" t="s">
        <v>178</v>
      </c>
      <c r="K10" s="7" t="s">
        <v>141</v>
      </c>
      <c r="L10" s="7" t="s">
        <v>89</v>
      </c>
      <c r="M10" s="10" t="s">
        <v>90</v>
      </c>
      <c r="N10" s="11" t="s">
        <v>129</v>
      </c>
      <c r="O10" s="7" t="s">
        <v>92</v>
      </c>
      <c r="P10" s="7" t="s">
        <v>93</v>
      </c>
      <c r="Q10" s="7" t="s">
        <v>94</v>
      </c>
      <c r="R10" s="7" t="s">
        <v>142</v>
      </c>
      <c r="S10" s="7" t="s">
        <v>143</v>
      </c>
      <c r="T10" s="7" t="s">
        <v>179</v>
      </c>
      <c r="U10" s="7" t="s">
        <v>98</v>
      </c>
      <c r="V10" s="7" t="s">
        <v>99</v>
      </c>
    </row>
    <row r="11" ht="76" customHeight="1" spans="1:22" s="7" customFormat="1" x14ac:dyDescent="0.25">
      <c r="A11" s="7">
        <v>10</v>
      </c>
      <c r="B11" s="8" t="s">
        <v>180</v>
      </c>
      <c r="C11" s="7" t="s">
        <v>80</v>
      </c>
      <c r="D11" s="7" t="s">
        <v>181</v>
      </c>
      <c r="E11" s="7" t="s">
        <v>182</v>
      </c>
      <c r="F11" s="7" t="s">
        <v>183</v>
      </c>
      <c r="G11" s="7" t="s">
        <v>84</v>
      </c>
      <c r="H11" s="7" t="s">
        <v>184</v>
      </c>
      <c r="I11" s="9" t="s">
        <v>185</v>
      </c>
      <c r="J11" s="7" t="s">
        <v>186</v>
      </c>
      <c r="K11" s="7" t="s">
        <v>88</v>
      </c>
      <c r="L11" s="7" t="s">
        <v>160</v>
      </c>
      <c r="M11" s="10" t="s">
        <v>90</v>
      </c>
      <c r="N11" s="7" t="s">
        <v>91</v>
      </c>
      <c r="O11" s="7" t="s">
        <v>92</v>
      </c>
      <c r="P11" s="7" t="s">
        <v>93</v>
      </c>
      <c r="Q11" s="7" t="s">
        <v>94</v>
      </c>
      <c r="R11" s="7" t="s">
        <v>118</v>
      </c>
      <c r="S11" s="7" t="s">
        <v>119</v>
      </c>
      <c r="T11" s="7" t="s">
        <v>187</v>
      </c>
      <c r="U11" s="7" t="s">
        <v>98</v>
      </c>
      <c r="V11" s="7" t="s">
        <v>99</v>
      </c>
    </row>
    <row r="12" ht="76" customHeight="1" spans="1:22" s="7" customFormat="1" x14ac:dyDescent="0.25">
      <c r="A12" s="7">
        <v>11</v>
      </c>
      <c r="B12" s="8" t="s">
        <v>188</v>
      </c>
      <c r="C12" s="7" t="s">
        <v>80</v>
      </c>
      <c r="D12" s="7" t="s">
        <v>189</v>
      </c>
      <c r="E12" s="7" t="s">
        <v>190</v>
      </c>
      <c r="F12" s="7" t="s">
        <v>191</v>
      </c>
      <c r="G12" s="7" t="s">
        <v>84</v>
      </c>
      <c r="H12" s="7" t="s">
        <v>192</v>
      </c>
      <c r="I12" s="9" t="s">
        <v>193</v>
      </c>
      <c r="J12" s="7" t="s">
        <v>194</v>
      </c>
      <c r="K12" s="7" t="s">
        <v>88</v>
      </c>
      <c r="L12" s="7" t="s">
        <v>89</v>
      </c>
      <c r="M12" s="10" t="s">
        <v>90</v>
      </c>
      <c r="N12" s="7" t="s">
        <v>91</v>
      </c>
      <c r="O12" s="7" t="s">
        <v>92</v>
      </c>
      <c r="P12" s="7" t="s">
        <v>93</v>
      </c>
      <c r="Q12" s="7" t="s">
        <v>94</v>
      </c>
      <c r="R12" s="7" t="s">
        <v>118</v>
      </c>
      <c r="S12" s="7" t="s">
        <v>119</v>
      </c>
      <c r="T12" s="7" t="s">
        <v>195</v>
      </c>
      <c r="U12" s="7" t="s">
        <v>98</v>
      </c>
      <c r="V12" s="7" t="s">
        <v>99</v>
      </c>
    </row>
    <row r="13" ht="76" customHeight="1" spans="1:22" s="7" customFormat="1" x14ac:dyDescent="0.25">
      <c r="A13" s="7">
        <v>12</v>
      </c>
      <c r="B13" s="8" t="s">
        <v>196</v>
      </c>
      <c r="C13" s="7" t="s">
        <v>80</v>
      </c>
      <c r="D13" s="7" t="s">
        <v>197</v>
      </c>
      <c r="E13" s="7" t="s">
        <v>198</v>
      </c>
      <c r="F13" s="7" t="s">
        <v>199</v>
      </c>
      <c r="G13" s="7" t="s">
        <v>84</v>
      </c>
      <c r="H13" s="7" t="s">
        <v>200</v>
      </c>
      <c r="I13" s="9" t="s">
        <v>201</v>
      </c>
      <c r="J13" s="7" t="s">
        <v>202</v>
      </c>
      <c r="K13" s="7" t="s">
        <v>88</v>
      </c>
      <c r="L13" s="7" t="s">
        <v>89</v>
      </c>
      <c r="M13" s="10" t="s">
        <v>90</v>
      </c>
      <c r="N13" s="7" t="s">
        <v>91</v>
      </c>
      <c r="O13" s="7" t="s">
        <v>92</v>
      </c>
      <c r="P13" s="7" t="s">
        <v>93</v>
      </c>
      <c r="Q13" s="7" t="s">
        <v>94</v>
      </c>
      <c r="R13" s="7" t="s">
        <v>118</v>
      </c>
      <c r="S13" s="7" t="s">
        <v>119</v>
      </c>
      <c r="T13" s="7" t="s">
        <v>203</v>
      </c>
      <c r="U13" s="7" t="s">
        <v>98</v>
      </c>
      <c r="V13" s="7" t="s">
        <v>99</v>
      </c>
    </row>
    <row r="14" ht="76" customHeight="1" spans="1:22" s="7" customFormat="1" x14ac:dyDescent="0.25">
      <c r="A14" s="7">
        <v>13</v>
      </c>
      <c r="B14" s="8" t="s">
        <v>204</v>
      </c>
      <c r="C14" s="7" t="s">
        <v>80</v>
      </c>
      <c r="D14" s="7" t="s">
        <v>205</v>
      </c>
      <c r="E14" s="7" t="s">
        <v>206</v>
      </c>
      <c r="F14" s="7" t="s">
        <v>207</v>
      </c>
      <c r="G14" s="7" t="s">
        <v>84</v>
      </c>
      <c r="H14" s="7" t="s">
        <v>208</v>
      </c>
      <c r="I14" s="9" t="s">
        <v>209</v>
      </c>
      <c r="J14" s="7" t="s">
        <v>210</v>
      </c>
      <c r="K14" s="7" t="s">
        <v>88</v>
      </c>
      <c r="L14" s="7" t="s">
        <v>211</v>
      </c>
      <c r="M14" s="10" t="s">
        <v>90</v>
      </c>
      <c r="N14" s="7" t="s">
        <v>91</v>
      </c>
      <c r="O14" s="7" t="s">
        <v>92</v>
      </c>
      <c r="P14" s="7" t="s">
        <v>93</v>
      </c>
      <c r="Q14" s="7" t="s">
        <v>94</v>
      </c>
      <c r="R14" s="7" t="s">
        <v>118</v>
      </c>
      <c r="S14" s="7" t="s">
        <v>119</v>
      </c>
      <c r="T14" s="7" t="s">
        <v>212</v>
      </c>
      <c r="U14" s="7" t="s">
        <v>98</v>
      </c>
      <c r="V14" s="7" t="s">
        <v>99</v>
      </c>
    </row>
    <row r="15" ht="76" customHeight="1" spans="1:22" s="7" customFormat="1" x14ac:dyDescent="0.25">
      <c r="A15" s="7">
        <v>14</v>
      </c>
      <c r="B15" s="8" t="s">
        <v>213</v>
      </c>
      <c r="C15" s="7" t="s">
        <v>80</v>
      </c>
      <c r="D15" s="7" t="s">
        <v>214</v>
      </c>
      <c r="E15" s="7" t="s">
        <v>215</v>
      </c>
      <c r="F15" s="7" t="s">
        <v>216</v>
      </c>
      <c r="G15" s="7" t="s">
        <v>84</v>
      </c>
      <c r="H15" s="7" t="s">
        <v>217</v>
      </c>
      <c r="I15" s="9" t="s">
        <v>218</v>
      </c>
      <c r="J15" s="7" t="s">
        <v>219</v>
      </c>
      <c r="K15" s="7" t="s">
        <v>88</v>
      </c>
      <c r="L15" s="7" t="s">
        <v>220</v>
      </c>
      <c r="M15" s="10" t="s">
        <v>90</v>
      </c>
      <c r="N15" s="7" t="s">
        <v>91</v>
      </c>
      <c r="O15" s="7" t="s">
        <v>92</v>
      </c>
      <c r="P15" s="7" t="s">
        <v>93</v>
      </c>
      <c r="Q15" s="7" t="s">
        <v>94</v>
      </c>
      <c r="R15" s="7" t="s">
        <v>221</v>
      </c>
      <c r="S15" s="7" t="s">
        <v>222</v>
      </c>
      <c r="T15" s="7" t="s">
        <v>223</v>
      </c>
      <c r="U15" s="7" t="s">
        <v>98</v>
      </c>
      <c r="V15" s="7" t="s">
        <v>99</v>
      </c>
    </row>
    <row r="16" ht="76" customHeight="1" spans="1:22" s="7" customFormat="1" x14ac:dyDescent="0.25">
      <c r="A16" s="7">
        <v>15</v>
      </c>
      <c r="B16" s="8" t="s">
        <v>224</v>
      </c>
      <c r="C16" s="7" t="s">
        <v>80</v>
      </c>
      <c r="D16" s="7" t="s">
        <v>225</v>
      </c>
      <c r="E16" s="7" t="s">
        <v>226</v>
      </c>
      <c r="F16" s="7" t="s">
        <v>227</v>
      </c>
      <c r="G16" s="7" t="s">
        <v>84</v>
      </c>
      <c r="H16" s="7" t="s">
        <v>228</v>
      </c>
      <c r="I16" s="9" t="s">
        <v>229</v>
      </c>
      <c r="J16" s="7" t="s">
        <v>230</v>
      </c>
      <c r="K16" s="7" t="s">
        <v>88</v>
      </c>
      <c r="L16" s="7" t="s">
        <v>160</v>
      </c>
      <c r="M16" s="10" t="s">
        <v>90</v>
      </c>
      <c r="N16" s="11" t="s">
        <v>129</v>
      </c>
      <c r="O16" s="7" t="s">
        <v>92</v>
      </c>
      <c r="P16" s="7" t="s">
        <v>93</v>
      </c>
      <c r="Q16" s="7" t="s">
        <v>94</v>
      </c>
      <c r="R16" s="7" t="s">
        <v>231</v>
      </c>
      <c r="S16" s="7" t="s">
        <v>232</v>
      </c>
      <c r="T16" s="7" t="s">
        <v>233</v>
      </c>
      <c r="U16" s="7" t="s">
        <v>98</v>
      </c>
      <c r="V16" s="7" t="s">
        <v>99</v>
      </c>
    </row>
    <row r="17" ht="76" customHeight="1" spans="1:22" s="7" customFormat="1" x14ac:dyDescent="0.25">
      <c r="A17" s="7">
        <v>16</v>
      </c>
      <c r="B17" s="8" t="s">
        <v>234</v>
      </c>
      <c r="C17" s="7" t="s">
        <v>80</v>
      </c>
      <c r="D17" s="7" t="s">
        <v>235</v>
      </c>
      <c r="E17" s="7" t="s">
        <v>236</v>
      </c>
      <c r="F17" s="7" t="s">
        <v>237</v>
      </c>
      <c r="G17" s="7" t="s">
        <v>238</v>
      </c>
      <c r="H17" s="7" t="s">
        <v>239</v>
      </c>
      <c r="I17" s="9" t="s">
        <v>240</v>
      </c>
      <c r="J17" s="7" t="s">
        <v>241</v>
      </c>
      <c r="K17" s="7" t="s">
        <v>242</v>
      </c>
      <c r="L17" s="7" t="s">
        <v>89</v>
      </c>
      <c r="M17" s="10" t="s">
        <v>90</v>
      </c>
      <c r="N17" s="11" t="s">
        <v>129</v>
      </c>
      <c r="O17" s="7" t="s">
        <v>92</v>
      </c>
      <c r="P17" s="12" t="s">
        <v>243</v>
      </c>
      <c r="Q17" s="7" t="s">
        <v>94</v>
      </c>
      <c r="R17" s="7" t="s">
        <v>244</v>
      </c>
      <c r="S17" s="7" t="s">
        <v>245</v>
      </c>
      <c r="T17" s="7" t="s">
        <v>246</v>
      </c>
      <c r="U17" s="7" t="s">
        <v>98</v>
      </c>
      <c r="V17" s="7" t="s">
        <v>99</v>
      </c>
    </row>
    <row r="18" ht="76" customHeight="1" spans="1:22" s="7" customFormat="1" x14ac:dyDescent="0.25">
      <c r="A18" s="7">
        <v>17</v>
      </c>
      <c r="B18" s="8" t="s">
        <v>247</v>
      </c>
      <c r="C18" s="7" t="s">
        <v>80</v>
      </c>
      <c r="D18" s="7" t="s">
        <v>248</v>
      </c>
      <c r="E18" s="7" t="s">
        <v>249</v>
      </c>
      <c r="F18" s="7" t="s">
        <v>250</v>
      </c>
      <c r="G18" s="7" t="s">
        <v>251</v>
      </c>
      <c r="H18" s="7" t="s">
        <v>252</v>
      </c>
      <c r="I18" s="9" t="s">
        <v>253</v>
      </c>
      <c r="J18" s="7" t="s">
        <v>254</v>
      </c>
      <c r="K18" s="7" t="s">
        <v>242</v>
      </c>
      <c r="L18" s="7" t="s">
        <v>89</v>
      </c>
      <c r="M18" s="10" t="s">
        <v>90</v>
      </c>
      <c r="N18" s="11" t="s">
        <v>129</v>
      </c>
      <c r="O18" s="7" t="s">
        <v>92</v>
      </c>
      <c r="P18" s="7" t="s">
        <v>93</v>
      </c>
      <c r="Q18" s="7" t="s">
        <v>94</v>
      </c>
      <c r="R18" s="7" t="s">
        <v>255</v>
      </c>
      <c r="S18" s="7" t="s">
        <v>256</v>
      </c>
      <c r="T18" s="7" t="s">
        <v>257</v>
      </c>
      <c r="U18" s="7" t="s">
        <v>98</v>
      </c>
      <c r="V18" s="7" t="s">
        <v>99</v>
      </c>
    </row>
    <row r="19" ht="76" customHeight="1" spans="1:22" s="7" customFormat="1" x14ac:dyDescent="0.25">
      <c r="A19" s="7">
        <v>18</v>
      </c>
      <c r="B19" s="8" t="s">
        <v>258</v>
      </c>
      <c r="C19" s="7" t="s">
        <v>80</v>
      </c>
      <c r="D19" s="7" t="s">
        <v>259</v>
      </c>
      <c r="E19" s="7" t="s">
        <v>260</v>
      </c>
      <c r="F19" s="7" t="s">
        <v>261</v>
      </c>
      <c r="G19" s="7" t="s">
        <v>251</v>
      </c>
      <c r="H19" s="7" t="s">
        <v>262</v>
      </c>
      <c r="I19" s="9" t="s">
        <v>263</v>
      </c>
      <c r="J19" s="7" t="s">
        <v>264</v>
      </c>
      <c r="K19" s="7" t="s">
        <v>88</v>
      </c>
      <c r="L19" s="7" t="s">
        <v>89</v>
      </c>
      <c r="M19" s="10" t="s">
        <v>90</v>
      </c>
      <c r="N19" s="7" t="s">
        <v>91</v>
      </c>
      <c r="O19" s="7" t="s">
        <v>92</v>
      </c>
      <c r="P19" s="7" t="s">
        <v>93</v>
      </c>
      <c r="Q19" s="7" t="s">
        <v>94</v>
      </c>
      <c r="R19" s="7" t="s">
        <v>118</v>
      </c>
      <c r="S19" s="7" t="s">
        <v>119</v>
      </c>
      <c r="T19" s="7" t="s">
        <v>265</v>
      </c>
      <c r="U19" s="7" t="s">
        <v>98</v>
      </c>
      <c r="V19" s="7" t="s">
        <v>99</v>
      </c>
    </row>
    <row r="20" ht="76" customHeight="1" spans="1:22" s="7" customFormat="1" x14ac:dyDescent="0.25">
      <c r="A20" s="7">
        <v>19</v>
      </c>
      <c r="B20" s="8" t="s">
        <v>266</v>
      </c>
      <c r="C20" s="7" t="s">
        <v>80</v>
      </c>
      <c r="D20" s="7" t="s">
        <v>267</v>
      </c>
      <c r="E20" s="7" t="s">
        <v>268</v>
      </c>
      <c r="F20" s="7" t="s">
        <v>269</v>
      </c>
      <c r="G20" s="7" t="s">
        <v>251</v>
      </c>
      <c r="H20" s="7" t="s">
        <v>270</v>
      </c>
      <c r="I20" s="9" t="s">
        <v>271</v>
      </c>
      <c r="J20" s="7" t="s">
        <v>272</v>
      </c>
      <c r="K20" s="7" t="s">
        <v>88</v>
      </c>
      <c r="L20" s="7" t="s">
        <v>128</v>
      </c>
      <c r="M20" s="10" t="s">
        <v>90</v>
      </c>
      <c r="N20" s="11" t="s">
        <v>129</v>
      </c>
      <c r="O20" s="7" t="s">
        <v>92</v>
      </c>
      <c r="P20" s="7" t="s">
        <v>93</v>
      </c>
      <c r="Q20" s="7" t="s">
        <v>94</v>
      </c>
      <c r="R20" s="7" t="s">
        <v>221</v>
      </c>
      <c r="S20" s="7" t="s">
        <v>222</v>
      </c>
      <c r="T20" s="7" t="s">
        <v>273</v>
      </c>
      <c r="U20" s="7" t="s">
        <v>98</v>
      </c>
      <c r="V20" s="7" t="s">
        <v>99</v>
      </c>
    </row>
    <row r="21" ht="76" customHeight="1" spans="1:22" s="7" customFormat="1" x14ac:dyDescent="0.25">
      <c r="A21" s="7">
        <v>20</v>
      </c>
      <c r="B21" s="8" t="s">
        <v>274</v>
      </c>
      <c r="C21" s="7" t="s">
        <v>80</v>
      </c>
      <c r="D21" s="7" t="s">
        <v>275</v>
      </c>
      <c r="E21" s="7" t="s">
        <v>276</v>
      </c>
      <c r="F21" s="7" t="s">
        <v>277</v>
      </c>
      <c r="G21" s="7" t="s">
        <v>278</v>
      </c>
      <c r="H21" s="7" t="s">
        <v>279</v>
      </c>
      <c r="I21" s="9" t="s">
        <v>280</v>
      </c>
      <c r="J21" s="7" t="s">
        <v>281</v>
      </c>
      <c r="K21" s="7" t="s">
        <v>242</v>
      </c>
      <c r="L21" s="7" t="s">
        <v>89</v>
      </c>
      <c r="M21" s="10" t="s">
        <v>90</v>
      </c>
      <c r="N21" s="11" t="s">
        <v>129</v>
      </c>
      <c r="O21" s="7" t="s">
        <v>92</v>
      </c>
      <c r="P21" s="12" t="s">
        <v>243</v>
      </c>
      <c r="Q21" s="7" t="s">
        <v>94</v>
      </c>
      <c r="R21" s="7" t="s">
        <v>244</v>
      </c>
      <c r="S21" s="7" t="s">
        <v>245</v>
      </c>
      <c r="T21" s="7" t="s">
        <v>282</v>
      </c>
      <c r="U21" s="7" t="s">
        <v>98</v>
      </c>
      <c r="V21" s="7" t="s">
        <v>99</v>
      </c>
    </row>
    <row r="22" ht="76" customHeight="1" spans="1:22" s="7" customFormat="1" x14ac:dyDescent="0.25">
      <c r="A22" s="7">
        <v>21</v>
      </c>
      <c r="B22" s="8" t="s">
        <v>283</v>
      </c>
      <c r="C22" s="7" t="s">
        <v>80</v>
      </c>
      <c r="D22" s="7" t="s">
        <v>284</v>
      </c>
      <c r="E22" s="7" t="s">
        <v>285</v>
      </c>
      <c r="F22" s="7" t="s">
        <v>286</v>
      </c>
      <c r="G22" s="7" t="s">
        <v>287</v>
      </c>
      <c r="H22" s="7" t="s">
        <v>288</v>
      </c>
      <c r="I22" s="9" t="s">
        <v>289</v>
      </c>
      <c r="J22" s="7" t="s">
        <v>290</v>
      </c>
      <c r="K22" s="7" t="s">
        <v>141</v>
      </c>
      <c r="L22" s="7" t="s">
        <v>89</v>
      </c>
      <c r="M22" s="10" t="s">
        <v>90</v>
      </c>
      <c r="N22" s="7" t="s">
        <v>91</v>
      </c>
      <c r="O22" s="7" t="s">
        <v>92</v>
      </c>
      <c r="P22" s="7" t="s">
        <v>93</v>
      </c>
      <c r="Q22" s="7" t="s">
        <v>94</v>
      </c>
      <c r="R22" s="7" t="s">
        <v>244</v>
      </c>
      <c r="S22" s="7" t="s">
        <v>245</v>
      </c>
      <c r="T22" s="7" t="s">
        <v>291</v>
      </c>
      <c r="U22" s="7" t="s">
        <v>98</v>
      </c>
      <c r="V22" s="7" t="s">
        <v>99</v>
      </c>
    </row>
    <row r="23" ht="76" customHeight="1" spans="1:22" s="7" customFormat="1" x14ac:dyDescent="0.25">
      <c r="A23" s="7">
        <v>22</v>
      </c>
      <c r="B23" s="8" t="s">
        <v>292</v>
      </c>
      <c r="C23" s="7" t="s">
        <v>80</v>
      </c>
      <c r="D23" s="7" t="s">
        <v>293</v>
      </c>
      <c r="E23" s="7" t="s">
        <v>294</v>
      </c>
      <c r="F23" s="7" t="s">
        <v>295</v>
      </c>
      <c r="G23" s="7" t="s">
        <v>251</v>
      </c>
      <c r="H23" s="7" t="s">
        <v>296</v>
      </c>
      <c r="I23" s="9" t="s">
        <v>297</v>
      </c>
      <c r="J23" s="7" t="s">
        <v>298</v>
      </c>
      <c r="K23" s="7" t="s">
        <v>88</v>
      </c>
      <c r="L23" s="7" t="s">
        <v>89</v>
      </c>
      <c r="M23" s="10" t="s">
        <v>90</v>
      </c>
      <c r="N23" s="7" t="s">
        <v>91</v>
      </c>
      <c r="O23" s="7" t="s">
        <v>92</v>
      </c>
      <c r="P23" s="7" t="s">
        <v>93</v>
      </c>
      <c r="Q23" s="7" t="s">
        <v>94</v>
      </c>
      <c r="R23" s="7" t="s">
        <v>118</v>
      </c>
      <c r="S23" s="7" t="s">
        <v>119</v>
      </c>
      <c r="T23" s="7" t="s">
        <v>299</v>
      </c>
      <c r="U23" s="7" t="s">
        <v>98</v>
      </c>
      <c r="V23" s="7" t="s">
        <v>99</v>
      </c>
    </row>
    <row r="24" ht="76" customHeight="1" spans="1:22" s="7" customFormat="1" x14ac:dyDescent="0.25">
      <c r="A24" s="7">
        <v>23</v>
      </c>
      <c r="B24" s="8" t="s">
        <v>300</v>
      </c>
      <c r="C24" s="7" t="s">
        <v>80</v>
      </c>
      <c r="D24" s="7" t="s">
        <v>301</v>
      </c>
      <c r="E24" s="7" t="s">
        <v>302</v>
      </c>
      <c r="F24" s="7" t="s">
        <v>303</v>
      </c>
      <c r="G24" s="7" t="s">
        <v>251</v>
      </c>
      <c r="H24" s="7" t="s">
        <v>304</v>
      </c>
      <c r="I24" s="9" t="s">
        <v>305</v>
      </c>
      <c r="J24" s="7" t="s">
        <v>306</v>
      </c>
      <c r="K24" s="7" t="s">
        <v>88</v>
      </c>
      <c r="L24" s="7" t="s">
        <v>220</v>
      </c>
      <c r="M24" s="10" t="s">
        <v>90</v>
      </c>
      <c r="N24" s="7" t="s">
        <v>91</v>
      </c>
      <c r="O24" s="7" t="s">
        <v>92</v>
      </c>
      <c r="P24" s="7" t="s">
        <v>93</v>
      </c>
      <c r="Q24" s="7" t="s">
        <v>94</v>
      </c>
      <c r="R24" s="7" t="s">
        <v>221</v>
      </c>
      <c r="S24" s="7" t="s">
        <v>222</v>
      </c>
      <c r="T24" s="7" t="s">
        <v>307</v>
      </c>
      <c r="U24" s="7" t="s">
        <v>98</v>
      </c>
      <c r="V24" s="7" t="s">
        <v>99</v>
      </c>
    </row>
    <row r="25" ht="76" customHeight="1" spans="1:22" s="7" customFormat="1" x14ac:dyDescent="0.25">
      <c r="A25" s="7">
        <v>24</v>
      </c>
      <c r="B25" s="8" t="s">
        <v>308</v>
      </c>
      <c r="C25" s="7" t="s">
        <v>80</v>
      </c>
      <c r="D25" s="7" t="s">
        <v>309</v>
      </c>
      <c r="E25" s="7" t="s">
        <v>310</v>
      </c>
      <c r="F25" s="7" t="s">
        <v>311</v>
      </c>
      <c r="G25" s="7" t="s">
        <v>312</v>
      </c>
      <c r="H25" s="7" t="s">
        <v>313</v>
      </c>
      <c r="I25" s="9" t="s">
        <v>314</v>
      </c>
      <c r="J25" s="7" t="s">
        <v>315</v>
      </c>
      <c r="K25" s="7" t="s">
        <v>242</v>
      </c>
      <c r="L25" s="7" t="s">
        <v>89</v>
      </c>
      <c r="M25" s="10" t="s">
        <v>90</v>
      </c>
      <c r="N25" s="11" t="s">
        <v>129</v>
      </c>
      <c r="O25" s="7" t="s">
        <v>92</v>
      </c>
      <c r="P25" s="12" t="s">
        <v>243</v>
      </c>
      <c r="Q25" s="7" t="s">
        <v>94</v>
      </c>
      <c r="R25" s="7" t="s">
        <v>255</v>
      </c>
      <c r="S25" s="7" t="s">
        <v>256</v>
      </c>
      <c r="T25" s="7" t="s">
        <v>316</v>
      </c>
      <c r="U25" s="7" t="s">
        <v>98</v>
      </c>
      <c r="V25" s="7" t="s">
        <v>99</v>
      </c>
    </row>
    <row r="26" ht="76" customHeight="1" spans="1:22" s="7" customFormat="1" x14ac:dyDescent="0.25">
      <c r="A26" s="7">
        <v>25</v>
      </c>
      <c r="B26" s="8" t="s">
        <v>317</v>
      </c>
      <c r="C26" s="7" t="s">
        <v>80</v>
      </c>
      <c r="D26" s="7" t="s">
        <v>318</v>
      </c>
      <c r="E26" s="7" t="s">
        <v>319</v>
      </c>
      <c r="F26" s="7" t="s">
        <v>320</v>
      </c>
      <c r="G26" s="7" t="s">
        <v>251</v>
      </c>
      <c r="H26" s="7" t="s">
        <v>321</v>
      </c>
      <c r="I26" s="9" t="s">
        <v>322</v>
      </c>
      <c r="J26" s="7" t="s">
        <v>323</v>
      </c>
      <c r="K26" s="7" t="s">
        <v>88</v>
      </c>
      <c r="L26" s="7" t="s">
        <v>89</v>
      </c>
      <c r="M26" s="10" t="s">
        <v>90</v>
      </c>
      <c r="N26" s="7" t="s">
        <v>91</v>
      </c>
      <c r="O26" s="7" t="s">
        <v>92</v>
      </c>
      <c r="P26" s="7" t="s">
        <v>93</v>
      </c>
      <c r="Q26" s="7" t="s">
        <v>94</v>
      </c>
      <c r="R26" s="7" t="s">
        <v>118</v>
      </c>
      <c r="S26" s="7" t="s">
        <v>119</v>
      </c>
      <c r="T26" s="7" t="s">
        <v>324</v>
      </c>
      <c r="U26" s="7" t="s">
        <v>98</v>
      </c>
      <c r="V26" s="7" t="s">
        <v>99</v>
      </c>
    </row>
    <row r="27" ht="76" customHeight="1" spans="1:22" s="7" customFormat="1" x14ac:dyDescent="0.25">
      <c r="A27" s="7">
        <v>26</v>
      </c>
      <c r="B27" s="8" t="s">
        <v>325</v>
      </c>
      <c r="C27" s="7" t="s">
        <v>80</v>
      </c>
      <c r="D27" s="7" t="s">
        <v>326</v>
      </c>
      <c r="E27" s="7" t="s">
        <v>327</v>
      </c>
      <c r="F27" s="7" t="s">
        <v>328</v>
      </c>
      <c r="G27" s="7" t="s">
        <v>251</v>
      </c>
      <c r="H27" s="7" t="s">
        <v>329</v>
      </c>
      <c r="I27" s="9" t="s">
        <v>330</v>
      </c>
      <c r="J27" s="7" t="s">
        <v>331</v>
      </c>
      <c r="K27" s="7" t="s">
        <v>88</v>
      </c>
      <c r="L27" s="7" t="s">
        <v>160</v>
      </c>
      <c r="M27" s="10" t="s">
        <v>90</v>
      </c>
      <c r="N27" s="7" t="s">
        <v>91</v>
      </c>
      <c r="O27" s="7" t="s">
        <v>92</v>
      </c>
      <c r="P27" s="7" t="s">
        <v>93</v>
      </c>
      <c r="Q27" s="7" t="s">
        <v>94</v>
      </c>
      <c r="R27" s="7" t="s">
        <v>118</v>
      </c>
      <c r="S27" s="7" t="s">
        <v>119</v>
      </c>
      <c r="T27" s="7" t="s">
        <v>332</v>
      </c>
      <c r="U27" s="7" t="s">
        <v>98</v>
      </c>
      <c r="V27" s="7" t="s">
        <v>99</v>
      </c>
    </row>
    <row r="28" ht="76" customHeight="1" spans="1:22" s="7" customFormat="1" x14ac:dyDescent="0.25">
      <c r="A28" s="7">
        <v>27</v>
      </c>
      <c r="B28" s="8" t="s">
        <v>333</v>
      </c>
      <c r="C28" s="7" t="s">
        <v>80</v>
      </c>
      <c r="D28" s="7" t="s">
        <v>334</v>
      </c>
      <c r="E28" s="7" t="s">
        <v>335</v>
      </c>
      <c r="F28" s="7" t="s">
        <v>336</v>
      </c>
      <c r="G28" s="7" t="s">
        <v>312</v>
      </c>
      <c r="H28" s="7" t="s">
        <v>337</v>
      </c>
      <c r="I28" s="9" t="s">
        <v>338</v>
      </c>
      <c r="J28" s="7" t="s">
        <v>339</v>
      </c>
      <c r="K28" s="7" t="s">
        <v>242</v>
      </c>
      <c r="L28" s="7" t="s">
        <v>89</v>
      </c>
      <c r="M28" s="10" t="s">
        <v>90</v>
      </c>
      <c r="N28" s="11" t="s">
        <v>129</v>
      </c>
      <c r="O28" s="7" t="s">
        <v>92</v>
      </c>
      <c r="P28" s="12" t="s">
        <v>243</v>
      </c>
      <c r="Q28" s="7" t="s">
        <v>94</v>
      </c>
      <c r="R28" s="7" t="s">
        <v>255</v>
      </c>
      <c r="S28" s="7" t="s">
        <v>256</v>
      </c>
      <c r="T28" s="7" t="s">
        <v>340</v>
      </c>
      <c r="U28" s="7" t="s">
        <v>98</v>
      </c>
      <c r="V28" s="7" t="s">
        <v>99</v>
      </c>
    </row>
    <row r="29" ht="76" customHeight="1" spans="1:22" s="7" customFormat="1" x14ac:dyDescent="0.25">
      <c r="A29" s="7">
        <v>28</v>
      </c>
      <c r="B29" s="8" t="s">
        <v>341</v>
      </c>
      <c r="C29" s="7" t="s">
        <v>80</v>
      </c>
      <c r="D29" s="7" t="s">
        <v>342</v>
      </c>
      <c r="E29" s="7" t="s">
        <v>343</v>
      </c>
      <c r="F29" s="7" t="s">
        <v>344</v>
      </c>
      <c r="G29" s="7" t="s">
        <v>345</v>
      </c>
      <c r="H29" s="7" t="s">
        <v>346</v>
      </c>
      <c r="I29" s="9" t="s">
        <v>347</v>
      </c>
      <c r="J29" s="7" t="s">
        <v>348</v>
      </c>
      <c r="K29" s="7" t="s">
        <v>242</v>
      </c>
      <c r="L29" s="7" t="s">
        <v>89</v>
      </c>
      <c r="M29" s="10" t="s">
        <v>90</v>
      </c>
      <c r="N29" s="11" t="s">
        <v>129</v>
      </c>
      <c r="O29" s="7" t="s">
        <v>92</v>
      </c>
      <c r="P29" s="7" t="s">
        <v>93</v>
      </c>
      <c r="Q29" s="7" t="s">
        <v>94</v>
      </c>
      <c r="R29" s="7" t="s">
        <v>244</v>
      </c>
      <c r="S29" s="7" t="s">
        <v>245</v>
      </c>
      <c r="T29" s="7" t="s">
        <v>349</v>
      </c>
      <c r="U29" s="7" t="s">
        <v>98</v>
      </c>
      <c r="V29" s="7" t="s">
        <v>99</v>
      </c>
    </row>
    <row r="30" ht="76" customHeight="1" spans="1:22" s="7" customFormat="1" x14ac:dyDescent="0.25">
      <c r="A30" s="7">
        <v>29</v>
      </c>
      <c r="B30" s="8" t="s">
        <v>350</v>
      </c>
      <c r="C30" s="7" t="s">
        <v>80</v>
      </c>
      <c r="D30" s="7" t="s">
        <v>351</v>
      </c>
      <c r="E30" s="7" t="s">
        <v>352</v>
      </c>
      <c r="F30" s="7" t="s">
        <v>353</v>
      </c>
      <c r="G30" s="7" t="s">
        <v>345</v>
      </c>
      <c r="H30" s="7" t="s">
        <v>354</v>
      </c>
      <c r="I30" s="9" t="s">
        <v>355</v>
      </c>
      <c r="J30" s="7" t="s">
        <v>356</v>
      </c>
      <c r="K30" s="7" t="s">
        <v>88</v>
      </c>
      <c r="L30" s="7" t="s">
        <v>211</v>
      </c>
      <c r="M30" s="10" t="s">
        <v>90</v>
      </c>
      <c r="N30" s="11" t="s">
        <v>129</v>
      </c>
      <c r="O30" s="7" t="s">
        <v>92</v>
      </c>
      <c r="P30" s="7" t="s">
        <v>93</v>
      </c>
      <c r="Q30" s="7" t="s">
        <v>94</v>
      </c>
      <c r="R30" s="7" t="s">
        <v>118</v>
      </c>
      <c r="S30" s="7" t="s">
        <v>119</v>
      </c>
      <c r="T30" s="7" t="s">
        <v>357</v>
      </c>
      <c r="U30" s="7" t="s">
        <v>98</v>
      </c>
      <c r="V30" s="7" t="s">
        <v>99</v>
      </c>
    </row>
    <row r="31" ht="76" customHeight="1" spans="1:22" s="7" customFormat="1" x14ac:dyDescent="0.25">
      <c r="A31" s="7">
        <v>30</v>
      </c>
      <c r="B31" s="8" t="s">
        <v>358</v>
      </c>
      <c r="C31" s="7" t="s">
        <v>80</v>
      </c>
      <c r="D31" s="7" t="s">
        <v>359</v>
      </c>
      <c r="E31" s="7" t="s">
        <v>360</v>
      </c>
      <c r="F31" s="7" t="s">
        <v>361</v>
      </c>
      <c r="G31" s="7" t="s">
        <v>362</v>
      </c>
      <c r="H31" s="7" t="s">
        <v>363</v>
      </c>
      <c r="I31" s="9" t="s">
        <v>364</v>
      </c>
      <c r="J31" s="7" t="s">
        <v>365</v>
      </c>
      <c r="K31" s="7" t="s">
        <v>242</v>
      </c>
      <c r="L31" s="7" t="s">
        <v>89</v>
      </c>
      <c r="M31" s="10" t="s">
        <v>90</v>
      </c>
      <c r="N31" s="11" t="s">
        <v>129</v>
      </c>
      <c r="O31" s="7" t="s">
        <v>92</v>
      </c>
      <c r="P31" s="12" t="s">
        <v>243</v>
      </c>
      <c r="Q31" s="7" t="s">
        <v>94</v>
      </c>
      <c r="R31" s="7" t="s">
        <v>255</v>
      </c>
      <c r="S31" s="7" t="s">
        <v>256</v>
      </c>
      <c r="T31" s="7" t="s">
        <v>366</v>
      </c>
      <c r="U31" s="7" t="s">
        <v>98</v>
      </c>
      <c r="V31" s="7" t="s">
        <v>99</v>
      </c>
    </row>
  </sheetData>
  <pageMargins left="0.25" right="0.25" top="0.5" bottom="0.5" header="0.2" footer="0.2"/>
  <pageSetup paperSize="9" orientation="landscape" fitToWidth="1" fitToHeight="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5911"/>
    <pageSetUpPr fitToPage="1"/>
  </sheetPr>
  <dimension ref="A1:W37"/>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2" width="17" customWidth="1"/>
    <col min="3" max="3" width="15" customWidth="1"/>
    <col min="4" max="4" width="30" customWidth="1"/>
    <col min="5" max="5" width="46" customWidth="1"/>
    <col min="6" max="6" width="54" customWidth="1"/>
    <col min="7" max="7" width="52" customWidth="1"/>
    <col min="8" max="8" width="66" customWidth="1"/>
    <col min="9" max="9" width="46" customWidth="1"/>
    <col min="10" max="10" width="62" customWidth="1"/>
    <col min="11" max="11" width="20" customWidth="1"/>
    <col min="12" max="12" width="28" customWidth="1"/>
    <col min="13" max="13" width="10" customWidth="1"/>
    <col min="14" max="14" width="12" customWidth="1"/>
    <col min="15" max="15" width="25" customWidth="1"/>
    <col min="16" max="16" width="42" customWidth="1"/>
    <col min="17" max="17" width="54" customWidth="1"/>
    <col min="18" max="18" width="16" customWidth="1"/>
    <col min="19" max="19" width="48" customWidth="1"/>
    <col min="20" max="20" width="20" customWidth="1"/>
    <col min="21" max="21" width="18" customWidth="1"/>
    <col min="22" max="22" width="17" customWidth="1"/>
    <col min="23" max="23" width="40" customWidth="1"/>
  </cols>
  <sheetData>
    <row r="1" ht="30" customHeight="1" spans="1:23" s="13" customFormat="1" x14ac:dyDescent="0.25">
      <c r="A1" s="13" t="s">
        <v>59</v>
      </c>
      <c r="B1" s="13" t="s">
        <v>60</v>
      </c>
      <c r="C1" s="13" t="s">
        <v>61</v>
      </c>
      <c r="D1" s="13" t="s">
        <v>62</v>
      </c>
      <c r="E1" s="13" t="s">
        <v>63</v>
      </c>
      <c r="F1" s="13" t="s">
        <v>64</v>
      </c>
      <c r="G1" s="13" t="s">
        <v>65</v>
      </c>
      <c r="H1" s="13" t="s">
        <v>66</v>
      </c>
      <c r="I1" s="13" t="s">
        <v>367</v>
      </c>
      <c r="J1" s="13" t="s">
        <v>68</v>
      </c>
      <c r="K1" s="13" t="s">
        <v>368</v>
      </c>
      <c r="L1" s="13" t="s">
        <v>369</v>
      </c>
      <c r="M1" s="13" t="s">
        <v>71</v>
      </c>
      <c r="N1" s="13" t="s">
        <v>72</v>
      </c>
      <c r="O1" s="13" t="s">
        <v>370</v>
      </c>
      <c r="P1" s="13" t="s">
        <v>27</v>
      </c>
      <c r="Q1" s="13" t="s">
        <v>30</v>
      </c>
      <c r="R1" s="13" t="s">
        <v>371</v>
      </c>
      <c r="S1" s="13" t="s">
        <v>372</v>
      </c>
      <c r="T1" s="13" t="s">
        <v>373</v>
      </c>
      <c r="U1" s="13" t="s">
        <v>374</v>
      </c>
      <c r="V1" s="13" t="s">
        <v>375</v>
      </c>
      <c r="W1" s="13" t="s">
        <v>376</v>
      </c>
    </row>
    <row r="2" ht="76" customHeight="1" spans="1:23" s="7" customFormat="1" x14ac:dyDescent="0.25">
      <c r="A2" s="7">
        <v>1</v>
      </c>
      <c r="B2" s="8" t="s">
        <v>377</v>
      </c>
      <c r="C2" s="7" t="s">
        <v>80</v>
      </c>
      <c r="D2" s="7" t="s">
        <v>378</v>
      </c>
      <c r="E2" s="7" t="s">
        <v>379</v>
      </c>
      <c r="F2" s="7" t="s">
        <v>380</v>
      </c>
      <c r="G2" s="7" t="s">
        <v>381</v>
      </c>
      <c r="H2" s="7" t="s">
        <v>382</v>
      </c>
      <c r="I2" s="7" t="s">
        <v>383</v>
      </c>
      <c r="J2" s="7" t="s">
        <v>384</v>
      </c>
      <c r="K2" s="7" t="s">
        <v>385</v>
      </c>
      <c r="L2" s="7" t="s">
        <v>386</v>
      </c>
      <c r="M2" s="10" t="s">
        <v>90</v>
      </c>
      <c r="N2" s="7" t="s">
        <v>91</v>
      </c>
      <c r="O2" s="7" t="s">
        <v>387</v>
      </c>
      <c r="P2" s="7" t="s">
        <v>388</v>
      </c>
      <c r="Q2" s="7" t="s">
        <v>389</v>
      </c>
      <c r="R2" s="14" t="s">
        <v>390</v>
      </c>
      <c r="S2" s="14" t="s">
        <v>99</v>
      </c>
      <c r="T2" s="14" t="s">
        <v>99</v>
      </c>
      <c r="U2" s="14" t="s">
        <v>99</v>
      </c>
      <c r="V2" s="14" t="s">
        <v>99</v>
      </c>
      <c r="W2" s="14" t="s">
        <v>99</v>
      </c>
    </row>
    <row r="3" ht="76" customHeight="1" spans="1:23" s="7" customFormat="1" x14ac:dyDescent="0.25">
      <c r="A3" s="7">
        <v>2</v>
      </c>
      <c r="B3" s="8" t="s">
        <v>391</v>
      </c>
      <c r="C3" s="7" t="s">
        <v>80</v>
      </c>
      <c r="D3" s="7" t="s">
        <v>392</v>
      </c>
      <c r="E3" s="7" t="s">
        <v>393</v>
      </c>
      <c r="F3" s="7" t="s">
        <v>394</v>
      </c>
      <c r="G3" s="7" t="s">
        <v>381</v>
      </c>
      <c r="H3" s="7" t="s">
        <v>395</v>
      </c>
      <c r="I3" s="7" t="s">
        <v>396</v>
      </c>
      <c r="J3" s="7" t="s">
        <v>397</v>
      </c>
      <c r="K3" s="7" t="s">
        <v>398</v>
      </c>
      <c r="L3" s="7" t="s">
        <v>399</v>
      </c>
      <c r="M3" s="10" t="s">
        <v>90</v>
      </c>
      <c r="N3" s="7" t="s">
        <v>91</v>
      </c>
      <c r="O3" s="7" t="s">
        <v>400</v>
      </c>
      <c r="P3" s="7" t="s">
        <v>401</v>
      </c>
      <c r="Q3" s="7" t="s">
        <v>402</v>
      </c>
      <c r="R3" s="14" t="s">
        <v>390</v>
      </c>
      <c r="S3" s="14" t="s">
        <v>99</v>
      </c>
      <c r="T3" s="14" t="s">
        <v>99</v>
      </c>
      <c r="U3" s="14" t="s">
        <v>99</v>
      </c>
      <c r="V3" s="14" t="s">
        <v>99</v>
      </c>
      <c r="W3" s="14" t="s">
        <v>99</v>
      </c>
    </row>
    <row r="4" ht="76" customHeight="1" spans="1:23" s="7" customFormat="1" x14ac:dyDescent="0.25">
      <c r="A4" s="7">
        <v>3</v>
      </c>
      <c r="B4" s="8" t="s">
        <v>403</v>
      </c>
      <c r="C4" s="7" t="s">
        <v>80</v>
      </c>
      <c r="D4" s="7" t="s">
        <v>404</v>
      </c>
      <c r="E4" s="7" t="s">
        <v>405</v>
      </c>
      <c r="F4" s="7" t="s">
        <v>406</v>
      </c>
      <c r="G4" s="7" t="s">
        <v>407</v>
      </c>
      <c r="H4" s="7" t="s">
        <v>408</v>
      </c>
      <c r="I4" s="7" t="s">
        <v>409</v>
      </c>
      <c r="J4" s="7" t="s">
        <v>410</v>
      </c>
      <c r="K4" s="7" t="s">
        <v>398</v>
      </c>
      <c r="L4" s="7" t="s">
        <v>386</v>
      </c>
      <c r="M4" s="10" t="s">
        <v>90</v>
      </c>
      <c r="N4" s="7" t="s">
        <v>91</v>
      </c>
      <c r="O4" s="7" t="s">
        <v>400</v>
      </c>
      <c r="P4" s="7" t="s">
        <v>388</v>
      </c>
      <c r="Q4" s="7" t="s">
        <v>411</v>
      </c>
      <c r="R4" s="14" t="s">
        <v>390</v>
      </c>
      <c r="S4" s="14" t="s">
        <v>99</v>
      </c>
      <c r="T4" s="14" t="s">
        <v>99</v>
      </c>
      <c r="U4" s="14" t="s">
        <v>99</v>
      </c>
      <c r="V4" s="14" t="s">
        <v>99</v>
      </c>
      <c r="W4" s="14" t="s">
        <v>99</v>
      </c>
    </row>
    <row r="5" ht="76" customHeight="1" spans="1:23" s="7" customFormat="1" x14ac:dyDescent="0.25">
      <c r="A5" s="7">
        <v>4</v>
      </c>
      <c r="B5" s="8" t="s">
        <v>412</v>
      </c>
      <c r="C5" s="7" t="s">
        <v>80</v>
      </c>
      <c r="D5" s="7" t="s">
        <v>413</v>
      </c>
      <c r="E5" s="7" t="s">
        <v>414</v>
      </c>
      <c r="F5" s="7" t="s">
        <v>415</v>
      </c>
      <c r="G5" s="7" t="s">
        <v>381</v>
      </c>
      <c r="H5" s="7" t="s">
        <v>416</v>
      </c>
      <c r="I5" s="7" t="s">
        <v>383</v>
      </c>
      <c r="J5" s="7" t="s">
        <v>417</v>
      </c>
      <c r="K5" s="7" t="s">
        <v>418</v>
      </c>
      <c r="L5" s="7" t="s">
        <v>386</v>
      </c>
      <c r="M5" s="10" t="s">
        <v>90</v>
      </c>
      <c r="N5" s="7" t="s">
        <v>91</v>
      </c>
      <c r="O5" s="7" t="s">
        <v>400</v>
      </c>
      <c r="P5" s="7" t="s">
        <v>388</v>
      </c>
      <c r="Q5" s="7" t="s">
        <v>419</v>
      </c>
      <c r="R5" s="14" t="s">
        <v>390</v>
      </c>
      <c r="S5" s="14" t="s">
        <v>99</v>
      </c>
      <c r="T5" s="14" t="s">
        <v>99</v>
      </c>
      <c r="U5" s="14" t="s">
        <v>99</v>
      </c>
      <c r="V5" s="14" t="s">
        <v>99</v>
      </c>
      <c r="W5" s="14" t="s">
        <v>99</v>
      </c>
    </row>
    <row r="6" ht="76" customHeight="1" spans="1:23" s="7" customFormat="1" x14ac:dyDescent="0.25">
      <c r="A6" s="7">
        <v>5</v>
      </c>
      <c r="B6" s="8" t="s">
        <v>420</v>
      </c>
      <c r="C6" s="7" t="s">
        <v>80</v>
      </c>
      <c r="D6" s="7" t="s">
        <v>421</v>
      </c>
      <c r="E6" s="7" t="s">
        <v>422</v>
      </c>
      <c r="F6" s="7" t="s">
        <v>423</v>
      </c>
      <c r="G6" s="7" t="s">
        <v>381</v>
      </c>
      <c r="H6" s="7" t="s">
        <v>424</v>
      </c>
      <c r="I6" s="7" t="s">
        <v>425</v>
      </c>
      <c r="J6" s="7" t="s">
        <v>426</v>
      </c>
      <c r="K6" s="7" t="s">
        <v>398</v>
      </c>
      <c r="L6" s="7" t="s">
        <v>386</v>
      </c>
      <c r="M6" s="10" t="s">
        <v>90</v>
      </c>
      <c r="N6" s="7" t="s">
        <v>91</v>
      </c>
      <c r="O6" s="7" t="s">
        <v>400</v>
      </c>
      <c r="P6" s="7" t="s">
        <v>427</v>
      </c>
      <c r="Q6" s="7" t="s">
        <v>428</v>
      </c>
      <c r="R6" s="14" t="s">
        <v>390</v>
      </c>
      <c r="S6" s="14" t="s">
        <v>99</v>
      </c>
      <c r="T6" s="14" t="s">
        <v>99</v>
      </c>
      <c r="U6" s="14" t="s">
        <v>99</v>
      </c>
      <c r="V6" s="14" t="s">
        <v>99</v>
      </c>
      <c r="W6" s="14" t="s">
        <v>99</v>
      </c>
    </row>
    <row r="7" ht="76" customHeight="1" spans="1:23" s="7" customFormat="1" x14ac:dyDescent="0.25">
      <c r="A7" s="7">
        <v>6</v>
      </c>
      <c r="B7" s="8" t="s">
        <v>429</v>
      </c>
      <c r="C7" s="7" t="s">
        <v>80</v>
      </c>
      <c r="D7" s="7" t="s">
        <v>430</v>
      </c>
      <c r="E7" s="7" t="s">
        <v>431</v>
      </c>
      <c r="F7" s="7" t="s">
        <v>432</v>
      </c>
      <c r="G7" s="7" t="s">
        <v>381</v>
      </c>
      <c r="H7" s="7" t="s">
        <v>433</v>
      </c>
      <c r="I7" s="7" t="s">
        <v>383</v>
      </c>
      <c r="J7" s="7" t="s">
        <v>434</v>
      </c>
      <c r="K7" s="7" t="s">
        <v>398</v>
      </c>
      <c r="L7" s="7" t="s">
        <v>386</v>
      </c>
      <c r="M7" s="10" t="s">
        <v>90</v>
      </c>
      <c r="N7" s="7" t="s">
        <v>91</v>
      </c>
      <c r="O7" s="7" t="s">
        <v>400</v>
      </c>
      <c r="P7" s="7" t="s">
        <v>388</v>
      </c>
      <c r="Q7" s="7" t="s">
        <v>411</v>
      </c>
      <c r="R7" s="14" t="s">
        <v>390</v>
      </c>
      <c r="S7" s="14" t="s">
        <v>99</v>
      </c>
      <c r="T7" s="14" t="s">
        <v>99</v>
      </c>
      <c r="U7" s="14" t="s">
        <v>99</v>
      </c>
      <c r="V7" s="14" t="s">
        <v>99</v>
      </c>
      <c r="W7" s="14" t="s">
        <v>99</v>
      </c>
    </row>
    <row r="8" ht="76" customHeight="1" spans="1:23" s="7" customFormat="1" x14ac:dyDescent="0.25">
      <c r="A8" s="7">
        <v>7</v>
      </c>
      <c r="B8" s="8" t="s">
        <v>435</v>
      </c>
      <c r="C8" s="7" t="s">
        <v>80</v>
      </c>
      <c r="D8" s="7" t="s">
        <v>436</v>
      </c>
      <c r="E8" s="7" t="s">
        <v>437</v>
      </c>
      <c r="F8" s="7" t="s">
        <v>438</v>
      </c>
      <c r="G8" s="7" t="s">
        <v>381</v>
      </c>
      <c r="H8" s="7" t="s">
        <v>439</v>
      </c>
      <c r="I8" s="7" t="s">
        <v>440</v>
      </c>
      <c r="J8" s="7" t="s">
        <v>441</v>
      </c>
      <c r="K8" s="7" t="s">
        <v>442</v>
      </c>
      <c r="L8" s="7" t="s">
        <v>443</v>
      </c>
      <c r="M8" s="10" t="s">
        <v>90</v>
      </c>
      <c r="N8" s="7" t="s">
        <v>91</v>
      </c>
      <c r="O8" s="7" t="s">
        <v>400</v>
      </c>
      <c r="P8" s="7" t="s">
        <v>444</v>
      </c>
      <c r="Q8" s="7" t="s">
        <v>445</v>
      </c>
      <c r="R8" s="14" t="s">
        <v>390</v>
      </c>
      <c r="S8" s="14" t="s">
        <v>99</v>
      </c>
      <c r="T8" s="14" t="s">
        <v>99</v>
      </c>
      <c r="U8" s="14" t="s">
        <v>99</v>
      </c>
      <c r="V8" s="14" t="s">
        <v>99</v>
      </c>
      <c r="W8" s="14" t="s">
        <v>99</v>
      </c>
    </row>
    <row r="9" ht="76" customHeight="1" spans="1:23" s="7" customFormat="1" x14ac:dyDescent="0.25">
      <c r="A9" s="7">
        <v>8</v>
      </c>
      <c r="B9" s="8" t="s">
        <v>446</v>
      </c>
      <c r="C9" s="7" t="s">
        <v>80</v>
      </c>
      <c r="D9" s="7" t="s">
        <v>447</v>
      </c>
      <c r="E9" s="7" t="s">
        <v>448</v>
      </c>
      <c r="F9" s="7" t="s">
        <v>449</v>
      </c>
      <c r="G9" s="7" t="s">
        <v>381</v>
      </c>
      <c r="H9" s="7" t="s">
        <v>450</v>
      </c>
      <c r="I9" s="7" t="s">
        <v>451</v>
      </c>
      <c r="J9" s="7" t="s">
        <v>452</v>
      </c>
      <c r="K9" s="7" t="s">
        <v>453</v>
      </c>
      <c r="L9" s="7" t="s">
        <v>454</v>
      </c>
      <c r="M9" s="10" t="s">
        <v>90</v>
      </c>
      <c r="N9" s="7" t="s">
        <v>91</v>
      </c>
      <c r="O9" s="7" t="s">
        <v>455</v>
      </c>
      <c r="P9" s="7" t="s">
        <v>388</v>
      </c>
      <c r="Q9" s="7" t="s">
        <v>456</v>
      </c>
      <c r="R9" s="14" t="s">
        <v>390</v>
      </c>
      <c r="S9" s="14" t="s">
        <v>99</v>
      </c>
      <c r="T9" s="14" t="s">
        <v>99</v>
      </c>
      <c r="U9" s="14" t="s">
        <v>99</v>
      </c>
      <c r="V9" s="14" t="s">
        <v>99</v>
      </c>
      <c r="W9" s="14" t="s">
        <v>99</v>
      </c>
    </row>
    <row r="10" ht="76" customHeight="1" spans="1:23" s="7" customFormat="1" x14ac:dyDescent="0.25">
      <c r="A10" s="7">
        <v>9</v>
      </c>
      <c r="B10" s="8" t="s">
        <v>457</v>
      </c>
      <c r="C10" s="7" t="s">
        <v>80</v>
      </c>
      <c r="D10" s="7" t="s">
        <v>458</v>
      </c>
      <c r="E10" s="7" t="s">
        <v>459</v>
      </c>
      <c r="F10" s="7" t="s">
        <v>460</v>
      </c>
      <c r="G10" s="7" t="s">
        <v>381</v>
      </c>
      <c r="H10" s="7" t="s">
        <v>461</v>
      </c>
      <c r="I10" s="7" t="s">
        <v>383</v>
      </c>
      <c r="J10" s="7" t="s">
        <v>462</v>
      </c>
      <c r="K10" s="7" t="s">
        <v>463</v>
      </c>
      <c r="L10" s="7" t="s">
        <v>464</v>
      </c>
      <c r="M10" s="10" t="s">
        <v>90</v>
      </c>
      <c r="N10" s="7" t="s">
        <v>91</v>
      </c>
      <c r="O10" s="7" t="s">
        <v>400</v>
      </c>
      <c r="P10" s="7" t="s">
        <v>388</v>
      </c>
      <c r="Q10" s="7" t="s">
        <v>465</v>
      </c>
      <c r="R10" s="14" t="s">
        <v>390</v>
      </c>
      <c r="S10" s="14" t="s">
        <v>99</v>
      </c>
      <c r="T10" s="14" t="s">
        <v>99</v>
      </c>
      <c r="U10" s="14" t="s">
        <v>99</v>
      </c>
      <c r="V10" s="14" t="s">
        <v>99</v>
      </c>
      <c r="W10" s="14" t="s">
        <v>99</v>
      </c>
    </row>
    <row r="11" ht="76" customHeight="1" spans="1:23" s="7" customFormat="1" x14ac:dyDescent="0.25">
      <c r="A11" s="7">
        <v>10</v>
      </c>
      <c r="B11" s="8" t="s">
        <v>466</v>
      </c>
      <c r="C11" s="7" t="s">
        <v>80</v>
      </c>
      <c r="D11" s="7" t="s">
        <v>467</v>
      </c>
      <c r="E11" s="7" t="s">
        <v>468</v>
      </c>
      <c r="F11" s="7" t="s">
        <v>469</v>
      </c>
      <c r="G11" s="7" t="s">
        <v>381</v>
      </c>
      <c r="H11" s="7" t="s">
        <v>470</v>
      </c>
      <c r="I11" s="7" t="s">
        <v>383</v>
      </c>
      <c r="J11" s="7" t="s">
        <v>471</v>
      </c>
      <c r="K11" s="7" t="s">
        <v>398</v>
      </c>
      <c r="L11" s="7" t="s">
        <v>386</v>
      </c>
      <c r="M11" s="10" t="s">
        <v>90</v>
      </c>
      <c r="N11" s="7" t="s">
        <v>91</v>
      </c>
      <c r="O11" s="7" t="s">
        <v>400</v>
      </c>
      <c r="P11" s="7" t="s">
        <v>388</v>
      </c>
      <c r="Q11" s="7" t="s">
        <v>411</v>
      </c>
      <c r="R11" s="14" t="s">
        <v>390</v>
      </c>
      <c r="S11" s="14" t="s">
        <v>99</v>
      </c>
      <c r="T11" s="14" t="s">
        <v>99</v>
      </c>
      <c r="U11" s="14" t="s">
        <v>99</v>
      </c>
      <c r="V11" s="14" t="s">
        <v>99</v>
      </c>
      <c r="W11" s="14" t="s">
        <v>99</v>
      </c>
    </row>
    <row r="12" ht="76" customHeight="1" spans="1:23" s="7" customFormat="1" x14ac:dyDescent="0.25">
      <c r="A12" s="7">
        <v>11</v>
      </c>
      <c r="B12" s="8" t="s">
        <v>472</v>
      </c>
      <c r="C12" s="7" t="s">
        <v>80</v>
      </c>
      <c r="D12" s="7" t="s">
        <v>473</v>
      </c>
      <c r="E12" s="7" t="s">
        <v>474</v>
      </c>
      <c r="F12" s="7" t="s">
        <v>475</v>
      </c>
      <c r="G12" s="7" t="s">
        <v>381</v>
      </c>
      <c r="H12" s="7" t="s">
        <v>476</v>
      </c>
      <c r="I12" s="7" t="s">
        <v>477</v>
      </c>
      <c r="J12" s="7" t="s">
        <v>478</v>
      </c>
      <c r="K12" s="7" t="s">
        <v>479</v>
      </c>
      <c r="L12" s="7" t="s">
        <v>386</v>
      </c>
      <c r="M12" s="10" t="s">
        <v>90</v>
      </c>
      <c r="N12" s="7" t="s">
        <v>91</v>
      </c>
      <c r="O12" s="7" t="s">
        <v>400</v>
      </c>
      <c r="P12" s="7" t="s">
        <v>388</v>
      </c>
      <c r="Q12" s="7" t="s">
        <v>480</v>
      </c>
      <c r="R12" s="14" t="s">
        <v>390</v>
      </c>
      <c r="S12" s="14" t="s">
        <v>99</v>
      </c>
      <c r="T12" s="14" t="s">
        <v>99</v>
      </c>
      <c r="U12" s="14" t="s">
        <v>99</v>
      </c>
      <c r="V12" s="14" t="s">
        <v>99</v>
      </c>
      <c r="W12" s="14" t="s">
        <v>99</v>
      </c>
    </row>
    <row r="13" ht="76" customHeight="1" spans="1:23" s="7" customFormat="1" x14ac:dyDescent="0.25">
      <c r="A13" s="7">
        <v>12</v>
      </c>
      <c r="B13" s="8" t="s">
        <v>481</v>
      </c>
      <c r="C13" s="7" t="s">
        <v>80</v>
      </c>
      <c r="D13" s="7" t="s">
        <v>482</v>
      </c>
      <c r="E13" s="7" t="s">
        <v>483</v>
      </c>
      <c r="F13" s="7" t="s">
        <v>484</v>
      </c>
      <c r="G13" s="7" t="s">
        <v>381</v>
      </c>
      <c r="H13" s="7" t="s">
        <v>485</v>
      </c>
      <c r="I13" s="7" t="s">
        <v>383</v>
      </c>
      <c r="J13" s="7" t="s">
        <v>486</v>
      </c>
      <c r="K13" s="7" t="s">
        <v>418</v>
      </c>
      <c r="L13" s="7" t="s">
        <v>386</v>
      </c>
      <c r="M13" s="10" t="s">
        <v>90</v>
      </c>
      <c r="N13" s="7" t="s">
        <v>91</v>
      </c>
      <c r="O13" s="7" t="s">
        <v>400</v>
      </c>
      <c r="P13" s="7" t="s">
        <v>388</v>
      </c>
      <c r="Q13" s="7" t="s">
        <v>419</v>
      </c>
      <c r="R13" s="14" t="s">
        <v>390</v>
      </c>
      <c r="S13" s="14" t="s">
        <v>99</v>
      </c>
      <c r="T13" s="14" t="s">
        <v>99</v>
      </c>
      <c r="U13" s="14" t="s">
        <v>99</v>
      </c>
      <c r="V13" s="14" t="s">
        <v>99</v>
      </c>
      <c r="W13" s="14" t="s">
        <v>99</v>
      </c>
    </row>
    <row r="14" ht="76" customHeight="1" spans="1:23" s="7" customFormat="1" x14ac:dyDescent="0.25">
      <c r="A14" s="7">
        <v>13</v>
      </c>
      <c r="B14" s="8" t="s">
        <v>487</v>
      </c>
      <c r="C14" s="7" t="s">
        <v>80</v>
      </c>
      <c r="D14" s="7" t="s">
        <v>488</v>
      </c>
      <c r="E14" s="7" t="s">
        <v>489</v>
      </c>
      <c r="F14" s="7" t="s">
        <v>490</v>
      </c>
      <c r="G14" s="7" t="s">
        <v>381</v>
      </c>
      <c r="H14" s="7" t="s">
        <v>491</v>
      </c>
      <c r="I14" s="7" t="s">
        <v>492</v>
      </c>
      <c r="J14" s="7" t="s">
        <v>493</v>
      </c>
      <c r="K14" s="7" t="s">
        <v>479</v>
      </c>
      <c r="L14" s="7" t="s">
        <v>386</v>
      </c>
      <c r="M14" s="10" t="s">
        <v>90</v>
      </c>
      <c r="N14" s="7" t="s">
        <v>91</v>
      </c>
      <c r="O14" s="7" t="s">
        <v>400</v>
      </c>
      <c r="P14" s="7" t="s">
        <v>388</v>
      </c>
      <c r="Q14" s="7" t="s">
        <v>480</v>
      </c>
      <c r="R14" s="14" t="s">
        <v>390</v>
      </c>
      <c r="S14" s="14" t="s">
        <v>99</v>
      </c>
      <c r="T14" s="14" t="s">
        <v>99</v>
      </c>
      <c r="U14" s="14" t="s">
        <v>99</v>
      </c>
      <c r="V14" s="14" t="s">
        <v>99</v>
      </c>
      <c r="W14" s="14" t="s">
        <v>99</v>
      </c>
    </row>
    <row r="15" ht="76" customHeight="1" spans="1:23" s="7" customFormat="1" x14ac:dyDescent="0.25">
      <c r="A15" s="7">
        <v>14</v>
      </c>
      <c r="B15" s="8" t="s">
        <v>494</v>
      </c>
      <c r="C15" s="7" t="s">
        <v>80</v>
      </c>
      <c r="D15" s="7" t="s">
        <v>495</v>
      </c>
      <c r="E15" s="7" t="s">
        <v>496</v>
      </c>
      <c r="F15" s="7" t="s">
        <v>497</v>
      </c>
      <c r="G15" s="7" t="s">
        <v>381</v>
      </c>
      <c r="H15" s="7" t="s">
        <v>498</v>
      </c>
      <c r="I15" s="7" t="s">
        <v>383</v>
      </c>
      <c r="J15" s="7" t="s">
        <v>499</v>
      </c>
      <c r="K15" s="7" t="s">
        <v>418</v>
      </c>
      <c r="L15" s="7" t="s">
        <v>386</v>
      </c>
      <c r="M15" s="10" t="s">
        <v>90</v>
      </c>
      <c r="N15" s="7" t="s">
        <v>91</v>
      </c>
      <c r="O15" s="7" t="s">
        <v>400</v>
      </c>
      <c r="P15" s="7" t="s">
        <v>388</v>
      </c>
      <c r="Q15" s="7" t="s">
        <v>419</v>
      </c>
      <c r="R15" s="14" t="s">
        <v>390</v>
      </c>
      <c r="S15" s="14" t="s">
        <v>99</v>
      </c>
      <c r="T15" s="14" t="s">
        <v>99</v>
      </c>
      <c r="U15" s="14" t="s">
        <v>99</v>
      </c>
      <c r="V15" s="14" t="s">
        <v>99</v>
      </c>
      <c r="W15" s="14" t="s">
        <v>99</v>
      </c>
    </row>
    <row r="16" ht="76" customHeight="1" spans="1:23" s="7" customFormat="1" x14ac:dyDescent="0.25">
      <c r="A16" s="7">
        <v>15</v>
      </c>
      <c r="B16" s="8" t="s">
        <v>500</v>
      </c>
      <c r="C16" s="7" t="s">
        <v>80</v>
      </c>
      <c r="D16" s="7" t="s">
        <v>501</v>
      </c>
      <c r="E16" s="7" t="s">
        <v>502</v>
      </c>
      <c r="F16" s="7" t="s">
        <v>503</v>
      </c>
      <c r="G16" s="7" t="s">
        <v>381</v>
      </c>
      <c r="H16" s="7" t="s">
        <v>504</v>
      </c>
      <c r="I16" s="7" t="s">
        <v>383</v>
      </c>
      <c r="J16" s="7" t="s">
        <v>505</v>
      </c>
      <c r="K16" s="7" t="s">
        <v>398</v>
      </c>
      <c r="L16" s="7" t="s">
        <v>386</v>
      </c>
      <c r="M16" s="10" t="s">
        <v>90</v>
      </c>
      <c r="N16" s="7" t="s">
        <v>91</v>
      </c>
      <c r="O16" s="7" t="s">
        <v>400</v>
      </c>
      <c r="P16" s="7" t="s">
        <v>388</v>
      </c>
      <c r="Q16" s="7" t="s">
        <v>411</v>
      </c>
      <c r="R16" s="14" t="s">
        <v>390</v>
      </c>
      <c r="S16" s="14" t="s">
        <v>99</v>
      </c>
      <c r="T16" s="14" t="s">
        <v>99</v>
      </c>
      <c r="U16" s="14" t="s">
        <v>99</v>
      </c>
      <c r="V16" s="14" t="s">
        <v>99</v>
      </c>
      <c r="W16" s="14" t="s">
        <v>99</v>
      </c>
    </row>
    <row r="17" ht="76" customHeight="1" spans="1:23" s="7" customFormat="1" x14ac:dyDescent="0.25">
      <c r="A17" s="7">
        <v>16</v>
      </c>
      <c r="B17" s="8" t="s">
        <v>506</v>
      </c>
      <c r="C17" s="7" t="s">
        <v>80</v>
      </c>
      <c r="D17" s="7" t="s">
        <v>507</v>
      </c>
      <c r="E17" s="7" t="s">
        <v>508</v>
      </c>
      <c r="F17" s="7" t="s">
        <v>509</v>
      </c>
      <c r="G17" s="7" t="s">
        <v>381</v>
      </c>
      <c r="H17" s="7" t="s">
        <v>510</v>
      </c>
      <c r="I17" s="7" t="s">
        <v>511</v>
      </c>
      <c r="J17" s="7" t="s">
        <v>512</v>
      </c>
      <c r="K17" s="7" t="s">
        <v>453</v>
      </c>
      <c r="L17" s="7" t="s">
        <v>386</v>
      </c>
      <c r="M17" s="10" t="s">
        <v>90</v>
      </c>
      <c r="N17" s="7" t="s">
        <v>91</v>
      </c>
      <c r="O17" s="7" t="s">
        <v>513</v>
      </c>
      <c r="P17" s="7" t="s">
        <v>388</v>
      </c>
      <c r="Q17" s="7" t="s">
        <v>456</v>
      </c>
      <c r="R17" s="14" t="s">
        <v>390</v>
      </c>
      <c r="S17" s="14" t="s">
        <v>99</v>
      </c>
      <c r="T17" s="14" t="s">
        <v>99</v>
      </c>
      <c r="U17" s="14" t="s">
        <v>99</v>
      </c>
      <c r="V17" s="14" t="s">
        <v>99</v>
      </c>
      <c r="W17" s="14" t="s">
        <v>99</v>
      </c>
    </row>
    <row r="18" ht="76" customHeight="1" spans="1:23" s="7" customFormat="1" x14ac:dyDescent="0.25">
      <c r="A18" s="7">
        <v>17</v>
      </c>
      <c r="B18" s="8" t="s">
        <v>514</v>
      </c>
      <c r="C18" s="7" t="s">
        <v>80</v>
      </c>
      <c r="D18" s="7" t="s">
        <v>515</v>
      </c>
      <c r="E18" s="7" t="s">
        <v>516</v>
      </c>
      <c r="F18" s="7" t="s">
        <v>517</v>
      </c>
      <c r="G18" s="7" t="s">
        <v>381</v>
      </c>
      <c r="H18" s="7" t="s">
        <v>518</v>
      </c>
      <c r="I18" s="7" t="s">
        <v>383</v>
      </c>
      <c r="J18" s="7" t="s">
        <v>519</v>
      </c>
      <c r="K18" s="7" t="s">
        <v>398</v>
      </c>
      <c r="L18" s="7" t="s">
        <v>386</v>
      </c>
      <c r="M18" s="10" t="s">
        <v>90</v>
      </c>
      <c r="N18" s="7" t="s">
        <v>91</v>
      </c>
      <c r="O18" s="7" t="s">
        <v>400</v>
      </c>
      <c r="P18" s="7" t="s">
        <v>388</v>
      </c>
      <c r="Q18" s="7" t="s">
        <v>411</v>
      </c>
      <c r="R18" s="14" t="s">
        <v>390</v>
      </c>
      <c r="S18" s="14" t="s">
        <v>99</v>
      </c>
      <c r="T18" s="14" t="s">
        <v>99</v>
      </c>
      <c r="U18" s="14" t="s">
        <v>99</v>
      </c>
      <c r="V18" s="14" t="s">
        <v>99</v>
      </c>
      <c r="W18" s="14" t="s">
        <v>99</v>
      </c>
    </row>
    <row r="19" ht="76" customHeight="1" spans="1:23" s="7" customFormat="1" x14ac:dyDescent="0.25">
      <c r="A19" s="7">
        <v>18</v>
      </c>
      <c r="B19" s="8" t="s">
        <v>520</v>
      </c>
      <c r="C19" s="7" t="s">
        <v>80</v>
      </c>
      <c r="D19" s="7" t="s">
        <v>521</v>
      </c>
      <c r="E19" s="7" t="s">
        <v>522</v>
      </c>
      <c r="F19" s="7" t="s">
        <v>523</v>
      </c>
      <c r="G19" s="7" t="s">
        <v>381</v>
      </c>
      <c r="H19" s="7" t="s">
        <v>524</v>
      </c>
      <c r="I19" s="7" t="s">
        <v>383</v>
      </c>
      <c r="J19" s="7" t="s">
        <v>525</v>
      </c>
      <c r="K19" s="7" t="s">
        <v>526</v>
      </c>
      <c r="L19" s="7" t="s">
        <v>386</v>
      </c>
      <c r="M19" s="10" t="s">
        <v>90</v>
      </c>
      <c r="N19" s="7" t="s">
        <v>91</v>
      </c>
      <c r="O19" s="7" t="s">
        <v>400</v>
      </c>
      <c r="P19" s="7" t="s">
        <v>388</v>
      </c>
      <c r="Q19" s="7" t="s">
        <v>527</v>
      </c>
      <c r="R19" s="14" t="s">
        <v>390</v>
      </c>
      <c r="S19" s="14" t="s">
        <v>99</v>
      </c>
      <c r="T19" s="14" t="s">
        <v>99</v>
      </c>
      <c r="U19" s="14" t="s">
        <v>99</v>
      </c>
      <c r="V19" s="14" t="s">
        <v>99</v>
      </c>
      <c r="W19" s="14" t="s">
        <v>99</v>
      </c>
    </row>
    <row r="20" ht="76" customHeight="1" spans="1:23" s="7" customFormat="1" x14ac:dyDescent="0.25">
      <c r="A20" s="7">
        <v>19</v>
      </c>
      <c r="B20" s="8" t="s">
        <v>528</v>
      </c>
      <c r="C20" s="7" t="s">
        <v>80</v>
      </c>
      <c r="D20" s="7" t="s">
        <v>529</v>
      </c>
      <c r="E20" s="7" t="s">
        <v>530</v>
      </c>
      <c r="F20" s="7" t="s">
        <v>531</v>
      </c>
      <c r="G20" s="7" t="s">
        <v>381</v>
      </c>
      <c r="H20" s="7" t="s">
        <v>532</v>
      </c>
      <c r="I20" s="7" t="s">
        <v>383</v>
      </c>
      <c r="J20" s="7" t="s">
        <v>533</v>
      </c>
      <c r="K20" s="7" t="s">
        <v>418</v>
      </c>
      <c r="L20" s="7" t="s">
        <v>386</v>
      </c>
      <c r="M20" s="10" t="s">
        <v>90</v>
      </c>
      <c r="N20" s="7" t="s">
        <v>91</v>
      </c>
      <c r="O20" s="7" t="s">
        <v>400</v>
      </c>
      <c r="P20" s="7" t="s">
        <v>388</v>
      </c>
      <c r="Q20" s="7" t="s">
        <v>419</v>
      </c>
      <c r="R20" s="14" t="s">
        <v>390</v>
      </c>
      <c r="S20" s="14" t="s">
        <v>99</v>
      </c>
      <c r="T20" s="14" t="s">
        <v>99</v>
      </c>
      <c r="U20" s="14" t="s">
        <v>99</v>
      </c>
      <c r="V20" s="14" t="s">
        <v>99</v>
      </c>
      <c r="W20" s="14" t="s">
        <v>99</v>
      </c>
    </row>
    <row r="21" ht="76" customHeight="1" spans="1:23" s="7" customFormat="1" x14ac:dyDescent="0.25">
      <c r="A21" s="7">
        <v>20</v>
      </c>
      <c r="B21" s="8" t="s">
        <v>534</v>
      </c>
      <c r="C21" s="7" t="s">
        <v>80</v>
      </c>
      <c r="D21" s="7" t="s">
        <v>535</v>
      </c>
      <c r="E21" s="7" t="s">
        <v>536</v>
      </c>
      <c r="F21" s="7" t="s">
        <v>537</v>
      </c>
      <c r="G21" s="7" t="s">
        <v>381</v>
      </c>
      <c r="H21" s="7" t="s">
        <v>538</v>
      </c>
      <c r="I21" s="7" t="s">
        <v>539</v>
      </c>
      <c r="J21" s="7" t="s">
        <v>540</v>
      </c>
      <c r="K21" s="7" t="s">
        <v>398</v>
      </c>
      <c r="L21" s="7" t="s">
        <v>386</v>
      </c>
      <c r="M21" s="10" t="s">
        <v>90</v>
      </c>
      <c r="N21" s="7" t="s">
        <v>91</v>
      </c>
      <c r="O21" s="7" t="s">
        <v>541</v>
      </c>
      <c r="P21" s="7" t="s">
        <v>388</v>
      </c>
      <c r="Q21" s="7" t="s">
        <v>411</v>
      </c>
      <c r="R21" s="14" t="s">
        <v>390</v>
      </c>
      <c r="S21" s="14" t="s">
        <v>99</v>
      </c>
      <c r="T21" s="14" t="s">
        <v>99</v>
      </c>
      <c r="U21" s="14" t="s">
        <v>99</v>
      </c>
      <c r="V21" s="14" t="s">
        <v>99</v>
      </c>
      <c r="W21" s="14" t="s">
        <v>99</v>
      </c>
    </row>
    <row r="22" ht="76" customHeight="1" spans="1:23" s="7" customFormat="1" x14ac:dyDescent="0.25">
      <c r="A22" s="7">
        <v>21</v>
      </c>
      <c r="B22" s="8" t="s">
        <v>542</v>
      </c>
      <c r="C22" s="7" t="s">
        <v>80</v>
      </c>
      <c r="D22" s="7" t="s">
        <v>543</v>
      </c>
      <c r="E22" s="7" t="s">
        <v>544</v>
      </c>
      <c r="F22" s="7" t="s">
        <v>545</v>
      </c>
      <c r="G22" s="7" t="s">
        <v>381</v>
      </c>
      <c r="H22" s="7" t="s">
        <v>546</v>
      </c>
      <c r="I22" s="7" t="s">
        <v>547</v>
      </c>
      <c r="J22" s="7" t="s">
        <v>548</v>
      </c>
      <c r="K22" s="7" t="s">
        <v>453</v>
      </c>
      <c r="L22" s="7" t="s">
        <v>549</v>
      </c>
      <c r="M22" s="10" t="s">
        <v>90</v>
      </c>
      <c r="N22" s="7" t="s">
        <v>91</v>
      </c>
      <c r="O22" s="7" t="s">
        <v>550</v>
      </c>
      <c r="P22" s="7" t="s">
        <v>401</v>
      </c>
      <c r="Q22" s="7" t="s">
        <v>551</v>
      </c>
      <c r="R22" s="14" t="s">
        <v>390</v>
      </c>
      <c r="S22" s="14" t="s">
        <v>99</v>
      </c>
      <c r="T22" s="14" t="s">
        <v>99</v>
      </c>
      <c r="U22" s="14" t="s">
        <v>99</v>
      </c>
      <c r="V22" s="14" t="s">
        <v>99</v>
      </c>
      <c r="W22" s="14" t="s">
        <v>99</v>
      </c>
    </row>
    <row r="23" ht="76" customHeight="1" spans="1:23" s="7" customFormat="1" x14ac:dyDescent="0.25">
      <c r="A23" s="7">
        <v>22</v>
      </c>
      <c r="B23" s="8" t="s">
        <v>552</v>
      </c>
      <c r="C23" s="7" t="s">
        <v>80</v>
      </c>
      <c r="D23" s="7" t="s">
        <v>553</v>
      </c>
      <c r="E23" s="7" t="s">
        <v>554</v>
      </c>
      <c r="F23" s="7" t="s">
        <v>555</v>
      </c>
      <c r="G23" s="7" t="s">
        <v>381</v>
      </c>
      <c r="H23" s="7" t="s">
        <v>556</v>
      </c>
      <c r="I23" s="7" t="s">
        <v>557</v>
      </c>
      <c r="J23" s="7" t="s">
        <v>558</v>
      </c>
      <c r="K23" s="7" t="s">
        <v>385</v>
      </c>
      <c r="L23" s="7" t="s">
        <v>386</v>
      </c>
      <c r="M23" s="10" t="s">
        <v>90</v>
      </c>
      <c r="N23" s="7" t="s">
        <v>91</v>
      </c>
      <c r="O23" s="7" t="s">
        <v>400</v>
      </c>
      <c r="P23" s="7" t="s">
        <v>388</v>
      </c>
      <c r="Q23" s="7" t="s">
        <v>389</v>
      </c>
      <c r="R23" s="14" t="s">
        <v>390</v>
      </c>
      <c r="S23" s="14" t="s">
        <v>99</v>
      </c>
      <c r="T23" s="14" t="s">
        <v>99</v>
      </c>
      <c r="U23" s="14" t="s">
        <v>99</v>
      </c>
      <c r="V23" s="14" t="s">
        <v>99</v>
      </c>
      <c r="W23" s="14" t="s">
        <v>99</v>
      </c>
    </row>
    <row r="24" ht="76" customHeight="1" spans="1:23" s="7" customFormat="1" x14ac:dyDescent="0.25">
      <c r="A24" s="7">
        <v>23</v>
      </c>
      <c r="B24" s="8" t="s">
        <v>559</v>
      </c>
      <c r="C24" s="7" t="s">
        <v>80</v>
      </c>
      <c r="D24" s="7" t="s">
        <v>560</v>
      </c>
      <c r="E24" s="7" t="s">
        <v>561</v>
      </c>
      <c r="F24" s="7" t="s">
        <v>562</v>
      </c>
      <c r="G24" s="7" t="s">
        <v>381</v>
      </c>
      <c r="H24" s="7" t="s">
        <v>563</v>
      </c>
      <c r="I24" s="7" t="s">
        <v>383</v>
      </c>
      <c r="J24" s="7" t="s">
        <v>564</v>
      </c>
      <c r="K24" s="7" t="s">
        <v>463</v>
      </c>
      <c r="L24" s="7" t="s">
        <v>565</v>
      </c>
      <c r="M24" s="10" t="s">
        <v>90</v>
      </c>
      <c r="N24" s="7" t="s">
        <v>91</v>
      </c>
      <c r="O24" s="7" t="s">
        <v>400</v>
      </c>
      <c r="P24" s="7" t="s">
        <v>388</v>
      </c>
      <c r="Q24" s="7" t="s">
        <v>465</v>
      </c>
      <c r="R24" s="14" t="s">
        <v>390</v>
      </c>
      <c r="S24" s="14" t="s">
        <v>99</v>
      </c>
      <c r="T24" s="14" t="s">
        <v>99</v>
      </c>
      <c r="U24" s="14" t="s">
        <v>99</v>
      </c>
      <c r="V24" s="14" t="s">
        <v>99</v>
      </c>
      <c r="W24" s="14" t="s">
        <v>99</v>
      </c>
    </row>
    <row r="25" ht="76" customHeight="1" spans="1:23" s="7" customFormat="1" x14ac:dyDescent="0.25">
      <c r="A25" s="7">
        <v>24</v>
      </c>
      <c r="B25" s="8" t="s">
        <v>566</v>
      </c>
      <c r="C25" s="7" t="s">
        <v>80</v>
      </c>
      <c r="D25" s="7" t="s">
        <v>567</v>
      </c>
      <c r="E25" s="7" t="s">
        <v>568</v>
      </c>
      <c r="F25" s="7" t="s">
        <v>569</v>
      </c>
      <c r="G25" s="7" t="s">
        <v>381</v>
      </c>
      <c r="H25" s="7" t="s">
        <v>570</v>
      </c>
      <c r="I25" s="7" t="s">
        <v>571</v>
      </c>
      <c r="J25" s="7" t="s">
        <v>572</v>
      </c>
      <c r="K25" s="7" t="s">
        <v>573</v>
      </c>
      <c r="L25" s="7" t="s">
        <v>386</v>
      </c>
      <c r="M25" s="10" t="s">
        <v>90</v>
      </c>
      <c r="N25" s="7" t="s">
        <v>91</v>
      </c>
      <c r="O25" s="7" t="s">
        <v>400</v>
      </c>
      <c r="P25" s="7" t="s">
        <v>444</v>
      </c>
      <c r="Q25" s="7" t="s">
        <v>574</v>
      </c>
      <c r="R25" s="14" t="s">
        <v>390</v>
      </c>
      <c r="S25" s="14" t="s">
        <v>99</v>
      </c>
      <c r="T25" s="14" t="s">
        <v>99</v>
      </c>
      <c r="U25" s="14" t="s">
        <v>99</v>
      </c>
      <c r="V25" s="14" t="s">
        <v>99</v>
      </c>
      <c r="W25" s="14" t="s">
        <v>99</v>
      </c>
    </row>
    <row r="26" ht="76" customHeight="1" spans="1:23" s="7" customFormat="1" x14ac:dyDescent="0.25">
      <c r="A26" s="7">
        <v>25</v>
      </c>
      <c r="B26" s="8" t="s">
        <v>575</v>
      </c>
      <c r="C26" s="7" t="s">
        <v>80</v>
      </c>
      <c r="D26" s="7" t="s">
        <v>576</v>
      </c>
      <c r="E26" s="7" t="s">
        <v>577</v>
      </c>
      <c r="F26" s="7" t="s">
        <v>578</v>
      </c>
      <c r="G26" s="7" t="s">
        <v>381</v>
      </c>
      <c r="H26" s="7" t="s">
        <v>579</v>
      </c>
      <c r="I26" s="7" t="s">
        <v>383</v>
      </c>
      <c r="J26" s="7" t="s">
        <v>580</v>
      </c>
      <c r="K26" s="7" t="s">
        <v>573</v>
      </c>
      <c r="L26" s="7" t="s">
        <v>386</v>
      </c>
      <c r="M26" s="10" t="s">
        <v>90</v>
      </c>
      <c r="N26" s="7" t="s">
        <v>91</v>
      </c>
      <c r="O26" s="7" t="s">
        <v>400</v>
      </c>
      <c r="P26" s="7" t="s">
        <v>444</v>
      </c>
      <c r="Q26" s="7" t="s">
        <v>574</v>
      </c>
      <c r="R26" s="14" t="s">
        <v>390</v>
      </c>
      <c r="S26" s="14" t="s">
        <v>99</v>
      </c>
      <c r="T26" s="14" t="s">
        <v>99</v>
      </c>
      <c r="U26" s="14" t="s">
        <v>99</v>
      </c>
      <c r="V26" s="14" t="s">
        <v>99</v>
      </c>
      <c r="W26" s="14" t="s">
        <v>99</v>
      </c>
    </row>
    <row r="27" ht="76" customHeight="1" spans="1:23" s="7" customFormat="1" x14ac:dyDescent="0.25">
      <c r="A27" s="7">
        <v>26</v>
      </c>
      <c r="B27" s="8" t="s">
        <v>581</v>
      </c>
      <c r="C27" s="7" t="s">
        <v>80</v>
      </c>
      <c r="D27" s="7" t="s">
        <v>582</v>
      </c>
      <c r="E27" s="7" t="s">
        <v>583</v>
      </c>
      <c r="F27" s="7" t="s">
        <v>584</v>
      </c>
      <c r="G27" s="7" t="s">
        <v>381</v>
      </c>
      <c r="H27" s="7" t="s">
        <v>585</v>
      </c>
      <c r="I27" s="7" t="s">
        <v>383</v>
      </c>
      <c r="J27" s="7" t="s">
        <v>586</v>
      </c>
      <c r="K27" s="7" t="s">
        <v>587</v>
      </c>
      <c r="L27" s="7" t="s">
        <v>386</v>
      </c>
      <c r="M27" s="10" t="s">
        <v>90</v>
      </c>
      <c r="N27" s="7" t="s">
        <v>91</v>
      </c>
      <c r="O27" s="7" t="s">
        <v>588</v>
      </c>
      <c r="P27" s="7" t="s">
        <v>444</v>
      </c>
      <c r="Q27" s="7" t="s">
        <v>589</v>
      </c>
      <c r="R27" s="14" t="s">
        <v>390</v>
      </c>
      <c r="S27" s="14" t="s">
        <v>99</v>
      </c>
      <c r="T27" s="14" t="s">
        <v>99</v>
      </c>
      <c r="U27" s="14" t="s">
        <v>99</v>
      </c>
      <c r="V27" s="14" t="s">
        <v>99</v>
      </c>
      <c r="W27" s="14" t="s">
        <v>99</v>
      </c>
    </row>
    <row r="28" ht="76" customHeight="1" spans="1:23" s="7" customFormat="1" x14ac:dyDescent="0.25">
      <c r="A28" s="7">
        <v>27</v>
      </c>
      <c r="B28" s="8" t="s">
        <v>590</v>
      </c>
      <c r="C28" s="7" t="s">
        <v>80</v>
      </c>
      <c r="D28" s="7" t="s">
        <v>591</v>
      </c>
      <c r="E28" s="7" t="s">
        <v>592</v>
      </c>
      <c r="F28" s="7" t="s">
        <v>593</v>
      </c>
      <c r="G28" s="7" t="s">
        <v>381</v>
      </c>
      <c r="H28" s="7" t="s">
        <v>594</v>
      </c>
      <c r="I28" s="7" t="s">
        <v>383</v>
      </c>
      <c r="J28" s="7" t="s">
        <v>595</v>
      </c>
      <c r="K28" s="7" t="s">
        <v>453</v>
      </c>
      <c r="L28" s="7" t="s">
        <v>386</v>
      </c>
      <c r="M28" s="10" t="s">
        <v>90</v>
      </c>
      <c r="N28" s="7" t="s">
        <v>91</v>
      </c>
      <c r="O28" s="7" t="s">
        <v>513</v>
      </c>
      <c r="P28" s="7" t="s">
        <v>388</v>
      </c>
      <c r="Q28" s="7" t="s">
        <v>456</v>
      </c>
      <c r="R28" s="14" t="s">
        <v>390</v>
      </c>
      <c r="S28" s="14" t="s">
        <v>99</v>
      </c>
      <c r="T28" s="14" t="s">
        <v>99</v>
      </c>
      <c r="U28" s="14" t="s">
        <v>99</v>
      </c>
      <c r="V28" s="14" t="s">
        <v>99</v>
      </c>
      <c r="W28" s="14" t="s">
        <v>99</v>
      </c>
    </row>
    <row r="29" ht="76" customHeight="1" spans="1:23" s="7" customFormat="1" x14ac:dyDescent="0.25">
      <c r="A29" s="7">
        <v>28</v>
      </c>
      <c r="B29" s="8" t="s">
        <v>596</v>
      </c>
      <c r="C29" s="7" t="s">
        <v>80</v>
      </c>
      <c r="D29" s="7" t="s">
        <v>597</v>
      </c>
      <c r="E29" s="7" t="s">
        <v>598</v>
      </c>
      <c r="F29" s="7" t="s">
        <v>599</v>
      </c>
      <c r="G29" s="7" t="s">
        <v>381</v>
      </c>
      <c r="H29" s="7" t="s">
        <v>600</v>
      </c>
      <c r="I29" s="7" t="s">
        <v>601</v>
      </c>
      <c r="J29" s="7" t="s">
        <v>602</v>
      </c>
      <c r="K29" s="7" t="s">
        <v>603</v>
      </c>
      <c r="L29" s="7" t="s">
        <v>604</v>
      </c>
      <c r="M29" s="10" t="s">
        <v>90</v>
      </c>
      <c r="N29" s="7" t="s">
        <v>91</v>
      </c>
      <c r="O29" s="7" t="s">
        <v>605</v>
      </c>
      <c r="P29" s="7" t="s">
        <v>444</v>
      </c>
      <c r="Q29" s="7" t="s">
        <v>606</v>
      </c>
      <c r="R29" s="14" t="s">
        <v>390</v>
      </c>
      <c r="S29" s="14" t="s">
        <v>99</v>
      </c>
      <c r="T29" s="14" t="s">
        <v>99</v>
      </c>
      <c r="U29" s="14" t="s">
        <v>99</v>
      </c>
      <c r="V29" s="14" t="s">
        <v>99</v>
      </c>
      <c r="W29" s="14" t="s">
        <v>99</v>
      </c>
    </row>
    <row r="30" ht="76" customHeight="1" spans="1:23" s="7" customFormat="1" x14ac:dyDescent="0.25">
      <c r="A30" s="7">
        <v>29</v>
      </c>
      <c r="B30" s="8" t="s">
        <v>607</v>
      </c>
      <c r="C30" s="7" t="s">
        <v>80</v>
      </c>
      <c r="D30" s="7" t="s">
        <v>608</v>
      </c>
      <c r="E30" s="7" t="s">
        <v>609</v>
      </c>
      <c r="F30" s="7" t="s">
        <v>610</v>
      </c>
      <c r="G30" s="7" t="s">
        <v>381</v>
      </c>
      <c r="H30" s="7" t="s">
        <v>611</v>
      </c>
      <c r="I30" s="7" t="s">
        <v>383</v>
      </c>
      <c r="J30" s="7" t="s">
        <v>612</v>
      </c>
      <c r="K30" s="7" t="s">
        <v>418</v>
      </c>
      <c r="L30" s="7" t="s">
        <v>386</v>
      </c>
      <c r="M30" s="10" t="s">
        <v>90</v>
      </c>
      <c r="N30" s="7" t="s">
        <v>91</v>
      </c>
      <c r="O30" s="7" t="s">
        <v>400</v>
      </c>
      <c r="P30" s="7" t="s">
        <v>388</v>
      </c>
      <c r="Q30" s="7" t="s">
        <v>419</v>
      </c>
      <c r="R30" s="14" t="s">
        <v>390</v>
      </c>
      <c r="S30" s="14" t="s">
        <v>99</v>
      </c>
      <c r="T30" s="14" t="s">
        <v>99</v>
      </c>
      <c r="U30" s="14" t="s">
        <v>99</v>
      </c>
      <c r="V30" s="14" t="s">
        <v>99</v>
      </c>
      <c r="W30" s="14" t="s">
        <v>99</v>
      </c>
    </row>
    <row r="31" ht="76" customHeight="1" spans="1:23" s="7" customFormat="1" x14ac:dyDescent="0.25">
      <c r="A31" s="7">
        <v>30</v>
      </c>
      <c r="B31" s="8" t="s">
        <v>613</v>
      </c>
      <c r="C31" s="7" t="s">
        <v>80</v>
      </c>
      <c r="D31" s="7" t="s">
        <v>614</v>
      </c>
      <c r="E31" s="7" t="s">
        <v>615</v>
      </c>
      <c r="F31" s="7" t="s">
        <v>616</v>
      </c>
      <c r="G31" s="7" t="s">
        <v>381</v>
      </c>
      <c r="H31" s="7" t="s">
        <v>617</v>
      </c>
      <c r="I31" s="7" t="s">
        <v>383</v>
      </c>
      <c r="J31" s="7" t="s">
        <v>618</v>
      </c>
      <c r="K31" s="7" t="s">
        <v>463</v>
      </c>
      <c r="L31" s="7" t="s">
        <v>619</v>
      </c>
      <c r="M31" s="10" t="s">
        <v>90</v>
      </c>
      <c r="N31" s="7" t="s">
        <v>91</v>
      </c>
      <c r="O31" s="7" t="s">
        <v>400</v>
      </c>
      <c r="P31" s="7" t="s">
        <v>388</v>
      </c>
      <c r="Q31" s="7" t="s">
        <v>465</v>
      </c>
      <c r="R31" s="14" t="s">
        <v>390</v>
      </c>
      <c r="S31" s="14" t="s">
        <v>99</v>
      </c>
      <c r="T31" s="14" t="s">
        <v>99</v>
      </c>
      <c r="U31" s="14" t="s">
        <v>99</v>
      </c>
      <c r="V31" s="14" t="s">
        <v>99</v>
      </c>
      <c r="W31" s="14" t="s">
        <v>99</v>
      </c>
    </row>
    <row r="32" ht="76" customHeight="1" spans="1:23" s="7" customFormat="1" x14ac:dyDescent="0.25">
      <c r="A32" s="7">
        <v>31</v>
      </c>
      <c r="B32" s="8" t="s">
        <v>620</v>
      </c>
      <c r="C32" s="7" t="s">
        <v>80</v>
      </c>
      <c r="D32" s="7" t="s">
        <v>621</v>
      </c>
      <c r="E32" s="7" t="s">
        <v>622</v>
      </c>
      <c r="F32" s="7" t="s">
        <v>623</v>
      </c>
      <c r="G32" s="7" t="s">
        <v>381</v>
      </c>
      <c r="H32" s="7" t="s">
        <v>624</v>
      </c>
      <c r="I32" s="7" t="s">
        <v>625</v>
      </c>
      <c r="J32" s="7" t="s">
        <v>626</v>
      </c>
      <c r="K32" s="7" t="s">
        <v>627</v>
      </c>
      <c r="L32" s="7" t="s">
        <v>628</v>
      </c>
      <c r="M32" s="10" t="s">
        <v>90</v>
      </c>
      <c r="N32" s="7" t="s">
        <v>91</v>
      </c>
      <c r="O32" s="7" t="s">
        <v>400</v>
      </c>
      <c r="P32" s="7" t="s">
        <v>629</v>
      </c>
      <c r="Q32" s="7" t="s">
        <v>630</v>
      </c>
      <c r="R32" s="14" t="s">
        <v>390</v>
      </c>
      <c r="S32" s="14" t="s">
        <v>99</v>
      </c>
      <c r="T32" s="14" t="s">
        <v>99</v>
      </c>
      <c r="U32" s="14" t="s">
        <v>99</v>
      </c>
      <c r="V32" s="14" t="s">
        <v>99</v>
      </c>
      <c r="W32" s="14" t="s">
        <v>99</v>
      </c>
    </row>
    <row r="33" ht="76" customHeight="1" spans="1:23" s="7" customFormat="1" x14ac:dyDescent="0.25">
      <c r="A33" s="7">
        <v>32</v>
      </c>
      <c r="B33" s="8" t="s">
        <v>631</v>
      </c>
      <c r="C33" s="7" t="s">
        <v>80</v>
      </c>
      <c r="D33" s="7" t="s">
        <v>632</v>
      </c>
      <c r="E33" s="7" t="s">
        <v>633</v>
      </c>
      <c r="F33" s="7" t="s">
        <v>634</v>
      </c>
      <c r="G33" s="7" t="s">
        <v>381</v>
      </c>
      <c r="H33" s="7" t="s">
        <v>635</v>
      </c>
      <c r="I33" s="7" t="s">
        <v>636</v>
      </c>
      <c r="J33" s="7" t="s">
        <v>637</v>
      </c>
      <c r="K33" s="7" t="s">
        <v>638</v>
      </c>
      <c r="L33" s="7" t="s">
        <v>639</v>
      </c>
      <c r="M33" s="10" t="s">
        <v>90</v>
      </c>
      <c r="N33" s="7" t="s">
        <v>91</v>
      </c>
      <c r="O33" s="7" t="s">
        <v>400</v>
      </c>
      <c r="P33" s="7" t="s">
        <v>640</v>
      </c>
      <c r="Q33" s="7" t="s">
        <v>641</v>
      </c>
      <c r="R33" s="14" t="s">
        <v>390</v>
      </c>
      <c r="S33" s="14" t="s">
        <v>99</v>
      </c>
      <c r="T33" s="14" t="s">
        <v>99</v>
      </c>
      <c r="U33" s="14" t="s">
        <v>99</v>
      </c>
      <c r="V33" s="14" t="s">
        <v>99</v>
      </c>
      <c r="W33" s="14" t="s">
        <v>99</v>
      </c>
    </row>
    <row r="34" ht="76" customHeight="1" spans="1:23" s="7" customFormat="1" x14ac:dyDescent="0.25">
      <c r="A34" s="7">
        <v>33</v>
      </c>
      <c r="B34" s="8" t="s">
        <v>642</v>
      </c>
      <c r="C34" s="7" t="s">
        <v>80</v>
      </c>
      <c r="D34" s="7" t="s">
        <v>643</v>
      </c>
      <c r="E34" s="7" t="s">
        <v>644</v>
      </c>
      <c r="F34" s="7" t="s">
        <v>645</v>
      </c>
      <c r="G34" s="7" t="s">
        <v>381</v>
      </c>
      <c r="H34" s="7" t="s">
        <v>646</v>
      </c>
      <c r="I34" s="7" t="s">
        <v>647</v>
      </c>
      <c r="J34" s="7" t="s">
        <v>648</v>
      </c>
      <c r="K34" s="7" t="s">
        <v>643</v>
      </c>
      <c r="L34" s="7" t="s">
        <v>649</v>
      </c>
      <c r="M34" s="10" t="s">
        <v>90</v>
      </c>
      <c r="N34" s="7" t="s">
        <v>91</v>
      </c>
      <c r="O34" s="7" t="s">
        <v>400</v>
      </c>
      <c r="P34" s="7" t="s">
        <v>650</v>
      </c>
      <c r="Q34" s="7" t="s">
        <v>651</v>
      </c>
      <c r="R34" s="14" t="s">
        <v>390</v>
      </c>
      <c r="S34" s="14" t="s">
        <v>99</v>
      </c>
      <c r="T34" s="14" t="s">
        <v>99</v>
      </c>
      <c r="U34" s="14" t="s">
        <v>99</v>
      </c>
      <c r="V34" s="14" t="s">
        <v>99</v>
      </c>
      <c r="W34" s="14" t="s">
        <v>99</v>
      </c>
    </row>
    <row r="35" ht="76" customHeight="1" spans="1:23" s="7" customFormat="1" x14ac:dyDescent="0.25">
      <c r="A35" s="7">
        <v>34</v>
      </c>
      <c r="B35" s="8" t="s">
        <v>652</v>
      </c>
      <c r="C35" s="7" t="s">
        <v>80</v>
      </c>
      <c r="D35" s="7" t="s">
        <v>653</v>
      </c>
      <c r="E35" s="7" t="s">
        <v>654</v>
      </c>
      <c r="F35" s="7" t="s">
        <v>655</v>
      </c>
      <c r="G35" s="7" t="s">
        <v>381</v>
      </c>
      <c r="H35" s="7" t="s">
        <v>656</v>
      </c>
      <c r="I35" s="7" t="s">
        <v>657</v>
      </c>
      <c r="J35" s="7" t="s">
        <v>658</v>
      </c>
      <c r="K35" s="7" t="s">
        <v>653</v>
      </c>
      <c r="L35" s="7" t="s">
        <v>659</v>
      </c>
      <c r="M35" s="10" t="s">
        <v>90</v>
      </c>
      <c r="N35" s="7" t="s">
        <v>91</v>
      </c>
      <c r="O35" s="7" t="s">
        <v>400</v>
      </c>
      <c r="P35" s="7" t="s">
        <v>660</v>
      </c>
      <c r="Q35" s="7" t="s">
        <v>661</v>
      </c>
      <c r="R35" s="14" t="s">
        <v>390</v>
      </c>
      <c r="S35" s="14" t="s">
        <v>99</v>
      </c>
      <c r="T35" s="14" t="s">
        <v>99</v>
      </c>
      <c r="U35" s="14" t="s">
        <v>99</v>
      </c>
      <c r="V35" s="14" t="s">
        <v>99</v>
      </c>
      <c r="W35" s="14" t="s">
        <v>99</v>
      </c>
    </row>
    <row r="36" ht="76" customHeight="1" spans="1:23" s="7" customFormat="1" x14ac:dyDescent="0.25">
      <c r="A36" s="7">
        <v>35</v>
      </c>
      <c r="B36" s="8" t="s">
        <v>662</v>
      </c>
      <c r="C36" s="7" t="s">
        <v>80</v>
      </c>
      <c r="D36" s="7" t="s">
        <v>663</v>
      </c>
      <c r="E36" s="7" t="s">
        <v>664</v>
      </c>
      <c r="F36" s="7" t="s">
        <v>665</v>
      </c>
      <c r="G36" s="7" t="s">
        <v>381</v>
      </c>
      <c r="H36" s="7" t="s">
        <v>666</v>
      </c>
      <c r="I36" s="7" t="s">
        <v>667</v>
      </c>
      <c r="J36" s="7" t="s">
        <v>668</v>
      </c>
      <c r="K36" s="7" t="s">
        <v>663</v>
      </c>
      <c r="L36" s="7" t="s">
        <v>669</v>
      </c>
      <c r="M36" s="10" t="s">
        <v>90</v>
      </c>
      <c r="N36" s="7" t="s">
        <v>91</v>
      </c>
      <c r="O36" s="7" t="s">
        <v>400</v>
      </c>
      <c r="P36" s="7" t="s">
        <v>670</v>
      </c>
      <c r="Q36" s="7" t="s">
        <v>671</v>
      </c>
      <c r="R36" s="14" t="s">
        <v>390</v>
      </c>
      <c r="S36" s="14" t="s">
        <v>99</v>
      </c>
      <c r="T36" s="14" t="s">
        <v>99</v>
      </c>
      <c r="U36" s="14" t="s">
        <v>99</v>
      </c>
      <c r="V36" s="14" t="s">
        <v>99</v>
      </c>
      <c r="W36" s="14" t="s">
        <v>99</v>
      </c>
    </row>
    <row r="37" ht="76" customHeight="1" spans="1:23" s="7" customFormat="1" x14ac:dyDescent="0.25">
      <c r="A37" s="7">
        <v>36</v>
      </c>
      <c r="B37" s="8" t="s">
        <v>672</v>
      </c>
      <c r="C37" s="7" t="s">
        <v>80</v>
      </c>
      <c r="D37" s="7" t="s">
        <v>673</v>
      </c>
      <c r="E37" s="7" t="s">
        <v>674</v>
      </c>
      <c r="F37" s="7" t="s">
        <v>675</v>
      </c>
      <c r="G37" s="7" t="s">
        <v>676</v>
      </c>
      <c r="H37" s="7" t="s">
        <v>677</v>
      </c>
      <c r="I37" s="7" t="s">
        <v>678</v>
      </c>
      <c r="J37" s="7" t="s">
        <v>679</v>
      </c>
      <c r="K37" s="7" t="s">
        <v>680</v>
      </c>
      <c r="L37" s="7" t="s">
        <v>681</v>
      </c>
      <c r="M37" s="10" t="s">
        <v>90</v>
      </c>
      <c r="N37" s="7" t="s">
        <v>91</v>
      </c>
      <c r="O37" s="7" t="s">
        <v>682</v>
      </c>
      <c r="P37" s="7" t="s">
        <v>683</v>
      </c>
      <c r="Q37" s="7" t="s">
        <v>684</v>
      </c>
      <c r="R37" s="14" t="s">
        <v>390</v>
      </c>
      <c r="S37" s="14" t="s">
        <v>99</v>
      </c>
      <c r="T37" s="14" t="s">
        <v>99</v>
      </c>
      <c r="U37" s="14" t="s">
        <v>99</v>
      </c>
      <c r="V37" s="14" t="s">
        <v>99</v>
      </c>
      <c r="W37" s="14" t="s">
        <v>99</v>
      </c>
    </row>
  </sheetData>
  <dataValidations count="2">
    <dataValidation type="list" sqref="R10:R37">
      <formula1>"Not Run,Pass,Fail,Blocked,Not Applicable"</formula1>
    </dataValidation>
    <dataValidation type="list" sqref="R2:R37">
      <formula1>"Not Run,Pass,Fail,Blocked,Not Applicable"</formula1>
    </dataValidation>
  </dataValidations>
  <pageMargins left="0.25" right="0.25" top="0.5" bottom="0.5" header="0.2" footer="0.2"/>
  <pageSetup paperSize="9" orientation="landscape" fitToWidth="1"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D50"/>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2" width="38" customWidth="1"/>
    <col min="3" max="3" width="14" customWidth="1"/>
    <col min="4" max="4" width="72" customWidth="1"/>
  </cols>
  <sheetData>
    <row r="1" ht="32" customHeight="1" spans="1:4" x14ac:dyDescent="0.25">
      <c r="A1" s="15" t="s">
        <v>685</v>
      </c>
      <c r="B1" s="15"/>
      <c r="C1" s="15"/>
      <c r="D1" s="15"/>
    </row>
    <row r="2" spans="1:4" x14ac:dyDescent="0.25">
      <c r="A2" s="16" t="s">
        <v>686</v>
      </c>
      <c r="B2" s="16"/>
      <c r="C2" s="16"/>
      <c r="D2" s="16"/>
    </row>
    <row r="3" spans="1:4" x14ac:dyDescent="0.25"/>
    <row r="4" ht="30" customHeight="1" spans="1:4" s="17" customFormat="1" x14ac:dyDescent="0.25">
      <c r="A4" s="17" t="s">
        <v>687</v>
      </c>
      <c r="B4" s="17" t="s">
        <v>688</v>
      </c>
      <c r="C4" s="17" t="s">
        <v>689</v>
      </c>
      <c r="D4" s="17" t="s">
        <v>690</v>
      </c>
    </row>
    <row r="5" ht="27" customHeight="1" spans="1:4" s="18" customFormat="1" x14ac:dyDescent="0.25">
      <c r="A5" s="19" t="s">
        <v>691</v>
      </c>
      <c r="B5" s="20" t="s">
        <v>692</v>
      </c>
      <c r="C5" s="21">
        <f>ROWS(KnowledgeAutomatedCases[Test Case ID])</f>
        <v>30</v>
      </c>
      <c r="D5" s="20" t="s">
        <v>693</v>
      </c>
    </row>
    <row r="6" ht="27" customHeight="1" spans="1:4" s="18" customFormat="1" x14ac:dyDescent="0.25">
      <c r="A6" s="19" t="s">
        <v>691</v>
      </c>
      <c r="B6" s="20" t="s">
        <v>694</v>
      </c>
      <c r="C6" s="21">
        <f>ROWS(KnowledgeManualUiUxCases[Test Case ID])</f>
        <v>36</v>
      </c>
      <c r="D6" s="20" t="s">
        <v>695</v>
      </c>
    </row>
    <row r="7" ht="27" customHeight="1" spans="1:4" s="18" customFormat="1" x14ac:dyDescent="0.25">
      <c r="A7" s="19" t="s">
        <v>691</v>
      </c>
      <c r="B7" s="20" t="s">
        <v>696</v>
      </c>
      <c r="C7" s="21">
        <f>ROWS(KnowledgeAutomatedCases[Test Case ID])+ROWS(KnowledgeManualUiUxCases[Test Case ID])</f>
        <v>66</v>
      </c>
      <c r="D7" s="20" t="s">
        <v>697</v>
      </c>
    </row>
    <row r="8" ht="27" customHeight="1" spans="1:4" s="18" customFormat="1" x14ac:dyDescent="0.25">
      <c r="A8" s="19" t="s">
        <v>698</v>
      </c>
      <c r="B8" s="20" t="s">
        <v>699</v>
      </c>
      <c r="C8" s="21">
        <f>COUNTIF(KnowledgeAutomatedCases[Write Operation],"YES")</f>
        <v>5</v>
      </c>
      <c r="D8" s="20" t="s">
        <v>700</v>
      </c>
    </row>
    <row r="9" ht="27" customHeight="1" spans="1:4" s="18" customFormat="1" x14ac:dyDescent="0.25">
      <c r="A9" s="19" t="s">
        <v>20</v>
      </c>
      <c r="B9" s="20" t="s">
        <v>390</v>
      </c>
      <c r="C9" s="21">
        <f>COUNTIF(KnowledgeManualUiUxCases[Status],"Not Run")</f>
        <v>36</v>
      </c>
      <c r="D9" s="20" t="s">
        <v>701</v>
      </c>
    </row>
    <row r="10" ht="27" customHeight="1" spans="1:4" s="18" customFormat="1" x14ac:dyDescent="0.25">
      <c r="A10" s="19" t="s">
        <v>20</v>
      </c>
      <c r="B10" s="20" t="s">
        <v>702</v>
      </c>
      <c r="C10" s="21">
        <f>COUNTIF(KnowledgeManualUiUxCases[Status],"Pass")</f>
        <v>0</v>
      </c>
      <c r="D10" s="20" t="s">
        <v>703</v>
      </c>
    </row>
    <row r="11" ht="27" customHeight="1" spans="1:4" s="18" customFormat="1" x14ac:dyDescent="0.25">
      <c r="A11" s="19" t="s">
        <v>20</v>
      </c>
      <c r="B11" s="20" t="s">
        <v>704</v>
      </c>
      <c r="C11" s="21">
        <f>COUNTIF(KnowledgeManualUiUxCases[Status],"Fail")</f>
        <v>0</v>
      </c>
      <c r="D11" s="20" t="s">
        <v>705</v>
      </c>
    </row>
    <row r="12" ht="27" customHeight="1" spans="1:4" s="18" customFormat="1" x14ac:dyDescent="0.25">
      <c r="A12" s="19" t="s">
        <v>71</v>
      </c>
      <c r="B12" s="20" t="s">
        <v>90</v>
      </c>
      <c r="C12" s="21">
        <f>COUNTIF(KnowledgeAutomatedCases[Priority],"P1")+COUNTIF(KnowledgeManualUiUxCases[Priority],"P1")</f>
        <v>66</v>
      </c>
      <c r="D12" s="20" t="s">
        <v>706</v>
      </c>
    </row>
    <row r="13" ht="27" customHeight="1" spans="1:4" s="18" customFormat="1" x14ac:dyDescent="0.25">
      <c r="A13" s="19" t="s">
        <v>72</v>
      </c>
      <c r="B13" s="20" t="s">
        <v>129</v>
      </c>
      <c r="C13" s="21">
        <f>COUNTIF(KnowledgeAutomatedCases[Severity],"Critical")+COUNTIF(KnowledgeManualUiUxCases[Severity],"Critical")</f>
        <v>13</v>
      </c>
      <c r="D13" s="20" t="s">
        <v>707</v>
      </c>
    </row>
    <row r="14" ht="27" customHeight="1" spans="1:4" s="18" customFormat="1" x14ac:dyDescent="0.25">
      <c r="A14" s="19" t="s">
        <v>72</v>
      </c>
      <c r="B14" s="20" t="s">
        <v>91</v>
      </c>
      <c r="C14" s="21">
        <f>COUNTIF(KnowledgeAutomatedCases[Severity],"Major")+COUNTIF(KnowledgeManualUiUxCases[Severity],"Major")</f>
        <v>53</v>
      </c>
      <c r="D14" s="20" t="s">
        <v>708</v>
      </c>
    </row>
    <row r="15" ht="27" customHeight="1" spans="1:4" s="18" customFormat="1" x14ac:dyDescent="0.25">
      <c r="A15" s="19" t="s">
        <v>709</v>
      </c>
      <c r="B15" s="20" t="s">
        <v>88</v>
      </c>
      <c r="C15" s="21">
        <f>COUNTIF(KnowledgeAutomatedCases[Execution Tags],"*@functional*")+COUNTIF(KnowledgeManualUiUxCases[Execution Tags],"*@functional*")</f>
        <v>30</v>
      </c>
      <c r="D15" s="20" t="s">
        <v>710</v>
      </c>
    </row>
    <row r="16" ht="27" customHeight="1" spans="1:4" s="18" customFormat="1" x14ac:dyDescent="0.25">
      <c r="A16" s="19" t="s">
        <v>709</v>
      </c>
      <c r="B16" s="20" t="s">
        <v>711</v>
      </c>
      <c r="C16" s="21">
        <f>COUNTIF(KnowledgeAutomatedCases[Execution Tags],"*@non-functional*")+COUNTIF(KnowledgeManualUiUxCases[Execution Tags],"*@non-functional*")</f>
        <v>40</v>
      </c>
      <c r="D16" s="20" t="s">
        <v>712</v>
      </c>
    </row>
    <row r="17" ht="27" customHeight="1" spans="1:4" s="18" customFormat="1" x14ac:dyDescent="0.25">
      <c r="A17" s="19" t="s">
        <v>709</v>
      </c>
      <c r="B17" s="20" t="s">
        <v>713</v>
      </c>
      <c r="C17" s="21">
        <f>COUNTIF(KnowledgeAutomatedCases[Execution Tags],"*@smoke*")+COUNTIF(KnowledgeManualUiUxCases[Execution Tags],"*@smoke*")</f>
        <v>1</v>
      </c>
      <c r="D17" s="20" t="s">
        <v>714</v>
      </c>
    </row>
    <row r="18" ht="27" customHeight="1" spans="1:4" s="18" customFormat="1" x14ac:dyDescent="0.25">
      <c r="A18" s="19" t="s">
        <v>709</v>
      </c>
      <c r="B18" s="20" t="s">
        <v>715</v>
      </c>
      <c r="C18" s="21">
        <f>COUNTIF(KnowledgeAutomatedCases[Execution Tags],"*@prod-smoke*")+COUNTIF(KnowledgeManualUiUxCases[Execution Tags],"*@prod-smoke*")</f>
        <v>1</v>
      </c>
      <c r="D18" s="20" t="s">
        <v>716</v>
      </c>
    </row>
    <row r="19" ht="27" customHeight="1" spans="1:4" s="18" customFormat="1" x14ac:dyDescent="0.25">
      <c r="A19" s="19" t="s">
        <v>709</v>
      </c>
      <c r="B19" s="20" t="s">
        <v>717</v>
      </c>
      <c r="C19" s="21">
        <f>COUNTIF(KnowledgeAutomatedCases[Execution Tags],"*@sanity*")+COUNTIF(KnowledgeManualUiUxCases[Execution Tags],"*@sanity*")</f>
        <v>4</v>
      </c>
      <c r="D19" s="20" t="s">
        <v>718</v>
      </c>
    </row>
    <row r="20" ht="27" customHeight="1" spans="1:4" s="18" customFormat="1" x14ac:dyDescent="0.25">
      <c r="A20" s="19" t="s">
        <v>709</v>
      </c>
      <c r="B20" s="20" t="s">
        <v>719</v>
      </c>
      <c r="C20" s="21">
        <f>COUNTIF(KnowledgeAutomatedCases[Execution Tags],"*@regression*")+COUNTIF(KnowledgeManualUiUxCases[Execution Tags],"*@regression*")</f>
        <v>66</v>
      </c>
      <c r="D20" s="20" t="s">
        <v>720</v>
      </c>
    </row>
    <row r="21" ht="27" customHeight="1" spans="1:4" s="18" customFormat="1" x14ac:dyDescent="0.25">
      <c r="A21" s="19" t="s">
        <v>709</v>
      </c>
      <c r="B21" s="20" t="s">
        <v>721</v>
      </c>
      <c r="C21" s="21">
        <f>COUNTIF(KnowledgeAutomatedCases[Execution Tags],"*@e2e*")+COUNTIF(KnowledgeManualUiUxCases[Execution Tags],"*@e2e*")</f>
        <v>8</v>
      </c>
      <c r="D21" s="20" t="s">
        <v>722</v>
      </c>
    </row>
    <row r="22" ht="27" customHeight="1" spans="1:4" s="18" customFormat="1" x14ac:dyDescent="0.25">
      <c r="A22" s="19" t="s">
        <v>709</v>
      </c>
      <c r="B22" s="20" t="s">
        <v>141</v>
      </c>
      <c r="C22" s="21">
        <f>COUNTIF(KnowledgeAutomatedCases[Execution Tags],"*@integration*")+COUNTIF(KnowledgeManualUiUxCases[Execution Tags],"*@integration*")</f>
        <v>8</v>
      </c>
      <c r="D22" s="20" t="s">
        <v>723</v>
      </c>
    </row>
    <row r="23" ht="27" customHeight="1" spans="1:4" s="18" customFormat="1" x14ac:dyDescent="0.25">
      <c r="A23" s="19" t="s">
        <v>709</v>
      </c>
      <c r="B23" s="20" t="s">
        <v>220</v>
      </c>
      <c r="C23" s="21">
        <f>COUNTIF(KnowledgeAutomatedCases[Execution Tags],"*@security*")+COUNTIF(KnowledgeManualUiUxCases[Execution Tags],"*@security*")</f>
        <v>9</v>
      </c>
      <c r="D23" s="20" t="s">
        <v>724</v>
      </c>
    </row>
    <row r="24" ht="27" customHeight="1" spans="1:4" s="18" customFormat="1" x14ac:dyDescent="0.25">
      <c r="A24" s="19" t="s">
        <v>709</v>
      </c>
      <c r="B24" s="20" t="s">
        <v>463</v>
      </c>
      <c r="C24" s="21">
        <f>COUNTIF(KnowledgeAutomatedCases[Execution Tags],"*@a11y*")+COUNTIF(KnowledgeManualUiUxCases[Execution Tags],"*@a11y*")</f>
        <v>30</v>
      </c>
      <c r="D24" s="20" t="s">
        <v>725</v>
      </c>
    </row>
    <row r="25" ht="27" customHeight="1" spans="1:4" s="18" customFormat="1" x14ac:dyDescent="0.25">
      <c r="A25" s="19" t="s">
        <v>709</v>
      </c>
      <c r="B25" s="20" t="s">
        <v>726</v>
      </c>
      <c r="C25" s="21">
        <f>COUNTIF(KnowledgeAutomatedCases[Execution Tags],"*@api*")+COUNTIF(KnowledgeManualUiUxCases[Execution Tags],"*@api*")</f>
        <v>5</v>
      </c>
      <c r="D25" s="20" t="s">
        <v>727</v>
      </c>
    </row>
    <row r="26" ht="27" customHeight="1" spans="1:4" s="18" customFormat="1" x14ac:dyDescent="0.25">
      <c r="A26" s="19" t="s">
        <v>709</v>
      </c>
      <c r="B26" s="20" t="s">
        <v>728</v>
      </c>
      <c r="C26" s="21">
        <f>COUNTIF(KnowledgeAutomatedCases[Execution Tags],"*@responsive*")+COUNTIF(KnowledgeManualUiUxCases[Execution Tags],"*@responsive*")</f>
        <v>2</v>
      </c>
      <c r="D26" s="20" t="s">
        <v>729</v>
      </c>
    </row>
    <row r="27" ht="27" customHeight="1" spans="1:4" s="18" customFormat="1" x14ac:dyDescent="0.25">
      <c r="A27" s="19" t="s">
        <v>709</v>
      </c>
      <c r="B27" s="20" t="s">
        <v>638</v>
      </c>
      <c r="C27" s="21">
        <f>COUNTIF(KnowledgeAutomatedCases[Execution Tags],"*@compatibility*")+COUNTIF(KnowledgeManualUiUxCases[Execution Tags],"*@compatibility*")</f>
        <v>1</v>
      </c>
      <c r="D27" s="20" t="s">
        <v>730</v>
      </c>
    </row>
    <row r="28" ht="27" customHeight="1" spans="1:4" s="18" customFormat="1" x14ac:dyDescent="0.25">
      <c r="A28" s="19" t="s">
        <v>709</v>
      </c>
      <c r="B28" s="20" t="s">
        <v>731</v>
      </c>
      <c r="C28" s="21">
        <f>COUNTIF(KnowledgeAutomatedCases[Execution Tags],"*@visual-regression*")+COUNTIF(KnowledgeManualUiUxCases[Execution Tags],"*@visual-regression*")</f>
        <v>1</v>
      </c>
      <c r="D28" s="20" t="s">
        <v>732</v>
      </c>
    </row>
    <row r="29" ht="27" customHeight="1" spans="1:4" s="18" customFormat="1" x14ac:dyDescent="0.25">
      <c r="A29" s="19" t="s">
        <v>709</v>
      </c>
      <c r="B29" s="20" t="s">
        <v>643</v>
      </c>
      <c r="C29" s="21">
        <f>COUNTIF(KnowledgeAutomatedCases[Execution Tags],"*@performance*")+COUNTIF(KnowledgeManualUiUxCases[Execution Tags],"*@performance*")</f>
        <v>1</v>
      </c>
      <c r="D29" s="20" t="s">
        <v>733</v>
      </c>
    </row>
    <row r="30" ht="27" customHeight="1" spans="1:4" s="18" customFormat="1" x14ac:dyDescent="0.25">
      <c r="A30" s="19" t="s">
        <v>709</v>
      </c>
      <c r="B30" s="20" t="s">
        <v>663</v>
      </c>
      <c r="C30" s="21">
        <f>COUNTIF(KnowledgeAutomatedCases[Execution Tags],"*@localization*")+COUNTIF(KnowledgeManualUiUxCases[Execution Tags],"*@localization*")</f>
        <v>1</v>
      </c>
      <c r="D30" s="20" t="s">
        <v>734</v>
      </c>
    </row>
    <row r="31" ht="27" customHeight="1" spans="1:4" s="18" customFormat="1" x14ac:dyDescent="0.25">
      <c r="A31" s="19" t="s">
        <v>709</v>
      </c>
      <c r="B31" s="20" t="s">
        <v>735</v>
      </c>
      <c r="C31" s="21">
        <f>COUNTIF(KnowledgeAutomatedCases[Execution Tags],"*@exploratory*")+COUNTIF(KnowledgeManualUiUxCases[Execution Tags],"*@exploratory*")</f>
        <v>1</v>
      </c>
      <c r="D31" s="20" t="s">
        <v>736</v>
      </c>
    </row>
    <row r="32" ht="27" customHeight="1" spans="1:4" s="18" customFormat="1" x14ac:dyDescent="0.25">
      <c r="A32" s="19" t="s">
        <v>709</v>
      </c>
      <c r="B32" s="20" t="s">
        <v>737</v>
      </c>
      <c r="C32" s="21">
        <f>COUNTIF(KnowledgeAutomatedCases[Execution Tags],"*@uat*")+COUNTIF(KnowledgeManualUiUxCases[Execution Tags],"*@uat*")</f>
        <v>5</v>
      </c>
      <c r="D32" s="20" t="s">
        <v>738</v>
      </c>
    </row>
    <row r="33" ht="27" customHeight="1" spans="1:4" s="18" customFormat="1" x14ac:dyDescent="0.25">
      <c r="A33" s="19" t="s">
        <v>709</v>
      </c>
      <c r="B33" s="20" t="s">
        <v>38</v>
      </c>
      <c r="C33" s="21">
        <f>COUNTIF(KnowledgeAutomatedCases[Execution Tags],"*@retest*")+COUNTIF(KnowledgeManualUiUxCases[Execution Tags],"*@retest*")</f>
        <v>0</v>
      </c>
      <c r="D33" s="20" t="s">
        <v>739</v>
      </c>
    </row>
    <row r="34" ht="27" customHeight="1" spans="1:4" s="18" customFormat="1" x14ac:dyDescent="0.25">
      <c r="A34" s="19" t="s">
        <v>740</v>
      </c>
      <c r="B34" s="20" t="s">
        <v>463</v>
      </c>
      <c r="C34" s="21">
        <f>COUNTIF(KnowledgeManualUiUxCases[UX Category],"Accessibility")</f>
        <v>3</v>
      </c>
      <c r="D34" s="20" t="s">
        <v>741</v>
      </c>
    </row>
    <row r="35" ht="27" customHeight="1" spans="1:4" s="18" customFormat="1" x14ac:dyDescent="0.25">
      <c r="A35" s="19" t="s">
        <v>740</v>
      </c>
      <c r="B35" s="20" t="s">
        <v>573</v>
      </c>
      <c r="C35" s="21">
        <f>COUNTIF(KnowledgeManualUiUxCases[UX Category],"Authorization UX")</f>
        <v>2</v>
      </c>
      <c r="D35" s="20" t="s">
        <v>742</v>
      </c>
    </row>
    <row r="36" ht="27" customHeight="1" spans="1:4" s="18" customFormat="1" x14ac:dyDescent="0.25">
      <c r="A36" s="19" t="s">
        <v>740</v>
      </c>
      <c r="B36" s="20" t="s">
        <v>638</v>
      </c>
      <c r="C36" s="21">
        <f>COUNTIF(KnowledgeManualUiUxCases[UX Category],"Compatibility")</f>
        <v>1</v>
      </c>
      <c r="D36" s="20" t="s">
        <v>743</v>
      </c>
    </row>
    <row r="37" ht="27" customHeight="1" spans="1:4" s="18" customFormat="1" x14ac:dyDescent="0.25">
      <c r="A37" s="19" t="s">
        <v>740</v>
      </c>
      <c r="B37" s="20" t="s">
        <v>418</v>
      </c>
      <c r="C37" s="21">
        <f>COUNTIF(KnowledgeManualUiUxCases[UX Category],"Content design")</f>
        <v>5</v>
      </c>
      <c r="D37" s="20" t="s">
        <v>744</v>
      </c>
    </row>
    <row r="38" ht="27" customHeight="1" spans="1:4" s="18" customFormat="1" x14ac:dyDescent="0.25">
      <c r="A38" s="19" t="s">
        <v>740</v>
      </c>
      <c r="B38" s="20" t="s">
        <v>526</v>
      </c>
      <c r="C38" s="21">
        <f>COUNTIF(KnowledgeManualUiUxCases[UX Category],"Error prevention")</f>
        <v>1</v>
      </c>
      <c r="D38" s="20" t="s">
        <v>745</v>
      </c>
    </row>
    <row r="39" ht="27" customHeight="1" spans="1:4" s="18" customFormat="1" x14ac:dyDescent="0.25">
      <c r="A39" s="19" t="s">
        <v>740</v>
      </c>
      <c r="B39" s="20" t="s">
        <v>603</v>
      </c>
      <c r="C39" s="21">
        <f>COUNTIF(KnowledgeManualUiUxCases[UX Category],"Error prevention and security")</f>
        <v>1</v>
      </c>
      <c r="D39" s="20" t="s">
        <v>746</v>
      </c>
    </row>
    <row r="40" ht="27" customHeight="1" spans="1:4" s="18" customFormat="1" x14ac:dyDescent="0.25">
      <c r="A40" s="19" t="s">
        <v>740</v>
      </c>
      <c r="B40" s="20" t="s">
        <v>453</v>
      </c>
      <c r="C40" s="21">
        <f>COUNTIF(KnowledgeManualUiUxCases[UX Category],"Error recovery")</f>
        <v>4</v>
      </c>
      <c r="D40" s="20" t="s">
        <v>747</v>
      </c>
    </row>
    <row r="41" ht="27" customHeight="1" spans="1:4" s="18" customFormat="1" x14ac:dyDescent="0.25">
      <c r="A41" s="19" t="s">
        <v>740</v>
      </c>
      <c r="B41" s="20" t="s">
        <v>680</v>
      </c>
      <c r="C41" s="21">
        <f>COUNTIF(KnowledgeManualUiUxCases[UX Category],"Exploratory UAT")</f>
        <v>1</v>
      </c>
      <c r="D41" s="20" t="s">
        <v>748</v>
      </c>
    </row>
    <row r="42" ht="27" customHeight="1" spans="1:4" s="18" customFormat="1" x14ac:dyDescent="0.25">
      <c r="A42" s="19" t="s">
        <v>740</v>
      </c>
      <c r="B42" s="20" t="s">
        <v>479</v>
      </c>
      <c r="C42" s="21">
        <f>COUNTIF(KnowledgeManualUiUxCases[UX Category],"Form usability")</f>
        <v>2</v>
      </c>
      <c r="D42" s="20" t="s">
        <v>749</v>
      </c>
    </row>
    <row r="43" ht="27" customHeight="1" spans="1:4" s="18" customFormat="1" x14ac:dyDescent="0.25">
      <c r="A43" s="19" t="s">
        <v>740</v>
      </c>
      <c r="B43" s="20" t="s">
        <v>663</v>
      </c>
      <c r="C43" s="21">
        <f>COUNTIF(KnowledgeManualUiUxCases[UX Category],"Localization")</f>
        <v>1</v>
      </c>
      <c r="D43" s="20" t="s">
        <v>750</v>
      </c>
    </row>
    <row r="44" ht="27" customHeight="1" spans="1:4" s="18" customFormat="1" x14ac:dyDescent="0.25">
      <c r="A44" s="19" t="s">
        <v>740</v>
      </c>
      <c r="B44" s="20" t="s">
        <v>643</v>
      </c>
      <c r="C44" s="21">
        <f>COUNTIF(KnowledgeManualUiUxCases[UX Category],"Performance")</f>
        <v>1</v>
      </c>
      <c r="D44" s="20" t="s">
        <v>751</v>
      </c>
    </row>
    <row r="45" ht="27" customHeight="1" spans="1:4" s="18" customFormat="1" x14ac:dyDescent="0.25">
      <c r="A45" s="19" t="s">
        <v>740</v>
      </c>
      <c r="B45" s="20" t="s">
        <v>627</v>
      </c>
      <c r="C45" s="21">
        <f>COUNTIF(KnowledgeManualUiUxCases[UX Category],"Responsive UX")</f>
        <v>1</v>
      </c>
      <c r="D45" s="20" t="s">
        <v>752</v>
      </c>
    </row>
    <row r="46" ht="27" customHeight="1" spans="1:4" s="18" customFormat="1" x14ac:dyDescent="0.25">
      <c r="A46" s="19" t="s">
        <v>740</v>
      </c>
      <c r="B46" s="20" t="s">
        <v>587</v>
      </c>
      <c r="C46" s="21">
        <f>COUNTIF(KnowledgeManualUiUxCases[UX Category],"Security and authorization")</f>
        <v>1</v>
      </c>
      <c r="D46" s="20" t="s">
        <v>753</v>
      </c>
    </row>
    <row r="47" ht="27" customHeight="1" spans="1:4" s="18" customFormat="1" x14ac:dyDescent="0.25">
      <c r="A47" s="19" t="s">
        <v>740</v>
      </c>
      <c r="B47" s="20" t="s">
        <v>442</v>
      </c>
      <c r="C47" s="21">
        <f>COUNTIF(KnowledgeManualUiUxCases[UX Category],"Security UX")</f>
        <v>1</v>
      </c>
      <c r="D47" s="20" t="s">
        <v>754</v>
      </c>
    </row>
    <row r="48" ht="27" customHeight="1" spans="1:4" s="18" customFormat="1" x14ac:dyDescent="0.25">
      <c r="A48" s="19" t="s">
        <v>740</v>
      </c>
      <c r="B48" s="20" t="s">
        <v>385</v>
      </c>
      <c r="C48" s="21">
        <f>COUNTIF(KnowledgeManualUiUxCases[UX Category],"UI")</f>
        <v>2</v>
      </c>
      <c r="D48" s="20" t="s">
        <v>755</v>
      </c>
    </row>
    <row r="49" ht="27" customHeight="1" spans="1:4" s="18" customFormat="1" x14ac:dyDescent="0.25">
      <c r="A49" s="19" t="s">
        <v>740</v>
      </c>
      <c r="B49" s="20" t="s">
        <v>398</v>
      </c>
      <c r="C49" s="21">
        <f>COUNTIF(KnowledgeManualUiUxCases[UX Category],"UX")</f>
        <v>8</v>
      </c>
      <c r="D49" s="20" t="s">
        <v>756</v>
      </c>
    </row>
    <row r="50" ht="27" customHeight="1" spans="1:4" s="18" customFormat="1" x14ac:dyDescent="0.25">
      <c r="A50" s="19" t="s">
        <v>740</v>
      </c>
      <c r="B50" s="20" t="s">
        <v>653</v>
      </c>
      <c r="C50" s="21">
        <f>COUNTIF(KnowledgeManualUiUxCases[UX Category],"Visual regression")</f>
        <v>1</v>
      </c>
      <c r="D50" s="20" t="s">
        <v>757</v>
      </c>
    </row>
  </sheetData>
  <autoFilter ref="A4:D50"/>
  <mergeCells count="2">
    <mergeCell ref="A1:D1"/>
    <mergeCell ref="A2:D2"/>
  </mergeCells>
  <pageMargins left="0.25" right="0.25" top="0.5" bottom="0.5" header="0.2" footer="0.2"/>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78"/>
    <pageSetUpPr fitToPage="1"/>
  </sheetPr>
  <dimension ref="A1:F23"/>
  <sheetViews>
    <sheetView workbookViewId="0" showGridLines="0">
      <pane ySplit="1" topLeftCell="A2" activePane="bottomLeft" state="frozen"/>
      <selection pane="bottomLeft"/>
    </sheetView>
  </sheetViews>
  <sheetFormatPr defaultRowHeight="15" outlineLevelRow="0" outlineLevelCol="0" x14ac:dyDescent="55"/>
  <cols>
    <col min="1" max="1" width="27" customWidth="1"/>
    <col min="2" max="2" width="23" customWidth="1"/>
    <col min="3" max="3" width="25" customWidth="1"/>
    <col min="4" max="4" width="12" customWidth="1"/>
    <col min="5" max="5" width="78" customWidth="1"/>
    <col min="6" max="6" width="48" customWidth="1"/>
  </cols>
  <sheetData>
    <row r="1" ht="30" customHeight="1" spans="1:6" s="3" customFormat="1" x14ac:dyDescent="0.25">
      <c r="A1" s="3" t="s">
        <v>758</v>
      </c>
      <c r="B1" s="3" t="s">
        <v>759</v>
      </c>
      <c r="C1" s="3" t="s">
        <v>760</v>
      </c>
      <c r="D1" s="3" t="s">
        <v>761</v>
      </c>
      <c r="E1" s="3" t="s">
        <v>762</v>
      </c>
      <c r="F1" s="3" t="s">
        <v>763</v>
      </c>
    </row>
    <row r="2" ht="42" customHeight="1" spans="1:6" s="4" customFormat="1" x14ac:dyDescent="0.25">
      <c r="A2" s="8" t="s">
        <v>60</v>
      </c>
      <c r="B2" s="4" t="s">
        <v>29</v>
      </c>
      <c r="C2" s="4" t="s">
        <v>764</v>
      </c>
      <c r="D2" s="4" t="s">
        <v>765</v>
      </c>
      <c r="E2" s="4" t="s">
        <v>766</v>
      </c>
      <c r="F2" s="4" t="s">
        <v>767</v>
      </c>
    </row>
    <row r="3" ht="42" customHeight="1" spans="1:6" s="4" customFormat="1" x14ac:dyDescent="0.25">
      <c r="A3" s="8" t="s">
        <v>62</v>
      </c>
      <c r="B3" s="4" t="s">
        <v>29</v>
      </c>
      <c r="C3" s="4" t="s">
        <v>764</v>
      </c>
      <c r="D3" s="4" t="s">
        <v>765</v>
      </c>
      <c r="E3" s="4" t="s">
        <v>768</v>
      </c>
      <c r="F3" s="4" t="s">
        <v>81</v>
      </c>
    </row>
    <row r="4" ht="42" customHeight="1" spans="1:6" s="4" customFormat="1" x14ac:dyDescent="0.25">
      <c r="A4" s="8" t="s">
        <v>64</v>
      </c>
      <c r="B4" s="4" t="s">
        <v>29</v>
      </c>
      <c r="C4" s="4" t="s">
        <v>764</v>
      </c>
      <c r="D4" s="4" t="s">
        <v>765</v>
      </c>
      <c r="E4" s="4" t="s">
        <v>769</v>
      </c>
      <c r="F4" s="4" t="s">
        <v>770</v>
      </c>
    </row>
    <row r="5" ht="42" customHeight="1" spans="1:6" s="4" customFormat="1" x14ac:dyDescent="0.25">
      <c r="A5" s="8" t="s">
        <v>65</v>
      </c>
      <c r="B5" s="4" t="s">
        <v>29</v>
      </c>
      <c r="C5" s="4" t="s">
        <v>764</v>
      </c>
      <c r="D5" s="4" t="s">
        <v>765</v>
      </c>
      <c r="E5" s="4" t="s">
        <v>771</v>
      </c>
      <c r="F5" s="4" t="s">
        <v>772</v>
      </c>
    </row>
    <row r="6" ht="42" customHeight="1" spans="1:6" s="4" customFormat="1" x14ac:dyDescent="0.25">
      <c r="A6" s="8" t="s">
        <v>66</v>
      </c>
      <c r="B6" s="4" t="s">
        <v>29</v>
      </c>
      <c r="C6" s="4" t="s">
        <v>764</v>
      </c>
      <c r="D6" s="4" t="s">
        <v>765</v>
      </c>
      <c r="E6" s="4" t="s">
        <v>773</v>
      </c>
      <c r="F6" s="4" t="s">
        <v>774</v>
      </c>
    </row>
    <row r="7" ht="42" customHeight="1" spans="1:6" s="4" customFormat="1" x14ac:dyDescent="0.25">
      <c r="A7" s="8" t="s">
        <v>67</v>
      </c>
      <c r="B7" s="4" t="s">
        <v>14</v>
      </c>
      <c r="C7" s="4" t="s">
        <v>764</v>
      </c>
      <c r="D7" s="4" t="s">
        <v>765</v>
      </c>
      <c r="E7" s="4" t="s">
        <v>775</v>
      </c>
      <c r="F7" s="4" t="s">
        <v>776</v>
      </c>
    </row>
    <row r="8" ht="42" customHeight="1" spans="1:6" s="4" customFormat="1" x14ac:dyDescent="0.25">
      <c r="A8" s="8" t="s">
        <v>367</v>
      </c>
      <c r="B8" s="4" t="s">
        <v>777</v>
      </c>
      <c r="C8" s="4" t="s">
        <v>764</v>
      </c>
      <c r="D8" s="4" t="s">
        <v>765</v>
      </c>
      <c r="E8" s="4" t="s">
        <v>778</v>
      </c>
      <c r="F8" s="4" t="s">
        <v>779</v>
      </c>
    </row>
    <row r="9" ht="42" customHeight="1" spans="1:6" s="4" customFormat="1" x14ac:dyDescent="0.25">
      <c r="A9" s="8" t="s">
        <v>68</v>
      </c>
      <c r="B9" s="4" t="s">
        <v>29</v>
      </c>
      <c r="C9" s="4" t="s">
        <v>764</v>
      </c>
      <c r="D9" s="4" t="s">
        <v>765</v>
      </c>
      <c r="E9" s="4" t="s">
        <v>780</v>
      </c>
      <c r="F9" s="4" t="s">
        <v>781</v>
      </c>
    </row>
    <row r="10" ht="42" customHeight="1" spans="1:6" s="4" customFormat="1" x14ac:dyDescent="0.25">
      <c r="A10" s="8" t="s">
        <v>782</v>
      </c>
      <c r="B10" s="4" t="s">
        <v>29</v>
      </c>
      <c r="C10" s="4" t="s">
        <v>764</v>
      </c>
      <c r="D10" s="4" t="s">
        <v>765</v>
      </c>
      <c r="E10" s="4" t="s">
        <v>783</v>
      </c>
      <c r="F10" s="4" t="s">
        <v>463</v>
      </c>
    </row>
    <row r="11" ht="42" customHeight="1" spans="1:6" s="4" customFormat="1" x14ac:dyDescent="0.25">
      <c r="A11" s="8" t="s">
        <v>369</v>
      </c>
      <c r="B11" s="4" t="s">
        <v>777</v>
      </c>
      <c r="C11" s="4" t="s">
        <v>764</v>
      </c>
      <c r="D11" s="4" t="s">
        <v>765</v>
      </c>
      <c r="E11" s="4" t="s">
        <v>784</v>
      </c>
      <c r="F11" s="4" t="s">
        <v>785</v>
      </c>
    </row>
    <row r="12" ht="42" customHeight="1" spans="1:6" s="4" customFormat="1" x14ac:dyDescent="0.25">
      <c r="A12" s="8" t="s">
        <v>71</v>
      </c>
      <c r="B12" s="4" t="s">
        <v>29</v>
      </c>
      <c r="C12" s="4" t="s">
        <v>764</v>
      </c>
      <c r="D12" s="4" t="s">
        <v>765</v>
      </c>
      <c r="E12" s="4" t="s">
        <v>786</v>
      </c>
      <c r="F12" s="4" t="s">
        <v>90</v>
      </c>
    </row>
    <row r="13" ht="42" customHeight="1" spans="1:6" s="4" customFormat="1" x14ac:dyDescent="0.25">
      <c r="A13" s="8" t="s">
        <v>72</v>
      </c>
      <c r="B13" s="4" t="s">
        <v>29</v>
      </c>
      <c r="C13" s="4" t="s">
        <v>764</v>
      </c>
      <c r="D13" s="4" t="s">
        <v>765</v>
      </c>
      <c r="E13" s="4" t="s">
        <v>787</v>
      </c>
      <c r="F13" s="4" t="s">
        <v>91</v>
      </c>
    </row>
    <row r="14" ht="42" customHeight="1" spans="1:6" s="4" customFormat="1" x14ac:dyDescent="0.25">
      <c r="A14" s="8" t="s">
        <v>73</v>
      </c>
      <c r="B14" s="4" t="s">
        <v>14</v>
      </c>
      <c r="C14" s="4" t="s">
        <v>764</v>
      </c>
      <c r="D14" s="4" t="s">
        <v>765</v>
      </c>
      <c r="E14" s="4" t="s">
        <v>788</v>
      </c>
      <c r="F14" s="4" t="s">
        <v>92</v>
      </c>
    </row>
    <row r="15" ht="42" customHeight="1" spans="1:6" s="4" customFormat="1" x14ac:dyDescent="0.25">
      <c r="A15" s="8" t="s">
        <v>74</v>
      </c>
      <c r="B15" s="4" t="s">
        <v>14</v>
      </c>
      <c r="C15" s="4" t="s">
        <v>764</v>
      </c>
      <c r="D15" s="4" t="s">
        <v>765</v>
      </c>
      <c r="E15" s="4" t="s">
        <v>789</v>
      </c>
      <c r="F15" s="4" t="s">
        <v>243</v>
      </c>
    </row>
    <row r="16" ht="42" customHeight="1" spans="1:6" s="4" customFormat="1" x14ac:dyDescent="0.25">
      <c r="A16" s="8" t="s">
        <v>27</v>
      </c>
      <c r="B16" s="4" t="s">
        <v>29</v>
      </c>
      <c r="C16" s="4" t="s">
        <v>764</v>
      </c>
      <c r="D16" s="4" t="s">
        <v>765</v>
      </c>
      <c r="E16" s="4" t="s">
        <v>790</v>
      </c>
      <c r="F16" s="4" t="s">
        <v>791</v>
      </c>
    </row>
    <row r="17" ht="42" customHeight="1" spans="1:6" s="4" customFormat="1" x14ac:dyDescent="0.25">
      <c r="A17" s="8" t="s">
        <v>30</v>
      </c>
      <c r="B17" s="4" t="s">
        <v>29</v>
      </c>
      <c r="C17" s="4" t="s">
        <v>764</v>
      </c>
      <c r="D17" s="4" t="s">
        <v>765</v>
      </c>
      <c r="E17" s="4" t="s">
        <v>792</v>
      </c>
      <c r="F17" s="4" t="s">
        <v>793</v>
      </c>
    </row>
    <row r="18" ht="42" customHeight="1" spans="1:6" s="4" customFormat="1" x14ac:dyDescent="0.25">
      <c r="A18" s="8" t="s">
        <v>76</v>
      </c>
      <c r="B18" s="4" t="s">
        <v>14</v>
      </c>
      <c r="C18" s="4" t="s">
        <v>764</v>
      </c>
      <c r="D18" s="4" t="s">
        <v>765</v>
      </c>
      <c r="E18" s="4" t="s">
        <v>794</v>
      </c>
      <c r="F18" s="4" t="s">
        <v>795</v>
      </c>
    </row>
    <row r="19" ht="42" customHeight="1" spans="1:6" s="4" customFormat="1" x14ac:dyDescent="0.25">
      <c r="A19" s="8" t="s">
        <v>371</v>
      </c>
      <c r="B19" s="4" t="s">
        <v>777</v>
      </c>
      <c r="C19" s="4" t="s">
        <v>765</v>
      </c>
      <c r="D19" s="4" t="s">
        <v>765</v>
      </c>
      <c r="E19" s="4" t="s">
        <v>796</v>
      </c>
      <c r="F19" s="4" t="s">
        <v>797</v>
      </c>
    </row>
    <row r="20" ht="42" customHeight="1" spans="1:6" s="4" customFormat="1" x14ac:dyDescent="0.25">
      <c r="A20" s="8" t="s">
        <v>372</v>
      </c>
      <c r="B20" s="4" t="s">
        <v>777</v>
      </c>
      <c r="C20" s="4" t="s">
        <v>765</v>
      </c>
      <c r="D20" s="4" t="s">
        <v>798</v>
      </c>
      <c r="E20" s="4" t="s">
        <v>799</v>
      </c>
      <c r="F20" s="4" t="s">
        <v>800</v>
      </c>
    </row>
    <row r="21" ht="42" customHeight="1" spans="1:6" s="4" customFormat="1" x14ac:dyDescent="0.25">
      <c r="A21" s="8" t="s">
        <v>801</v>
      </c>
      <c r="B21" s="4" t="s">
        <v>777</v>
      </c>
      <c r="C21" s="4" t="s">
        <v>765</v>
      </c>
      <c r="D21" s="4" t="s">
        <v>798</v>
      </c>
      <c r="E21" s="4" t="s">
        <v>802</v>
      </c>
      <c r="F21" s="4" t="s">
        <v>803</v>
      </c>
    </row>
    <row r="22" ht="42" customHeight="1" spans="1:6" s="4" customFormat="1" x14ac:dyDescent="0.25">
      <c r="A22" s="8" t="s">
        <v>375</v>
      </c>
      <c r="B22" s="4" t="s">
        <v>777</v>
      </c>
      <c r="C22" s="4" t="s">
        <v>765</v>
      </c>
      <c r="D22" s="4" t="s">
        <v>804</v>
      </c>
      <c r="E22" s="4" t="s">
        <v>805</v>
      </c>
      <c r="F22" s="4" t="s">
        <v>806</v>
      </c>
    </row>
    <row r="23" ht="42" customHeight="1" spans="1:6" s="4" customFormat="1" x14ac:dyDescent="0.25">
      <c r="A23" s="8" t="s">
        <v>376</v>
      </c>
      <c r="B23" s="4" t="s">
        <v>777</v>
      </c>
      <c r="C23" s="4" t="s">
        <v>765</v>
      </c>
      <c r="D23" s="4" t="s">
        <v>764</v>
      </c>
      <c r="E23" s="4" t="s">
        <v>807</v>
      </c>
      <c r="F23" s="4" t="s">
        <v>808</v>
      </c>
    </row>
  </sheetData>
  <pageMargins left="0.25" right="0.25" top="0.5" bottom="0.5" header="0.2" footer="0.2"/>
  <pageSetup paperSize="9" orientation="landscape" fitToWidth="1"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Automated Cases</vt:lpstr>
      <vt:lpstr>Manual UI UX Cases</vt:lpstr>
      <vt:lpstr>Coverage Summary</vt:lpstr>
      <vt:lpstr>Field Reference</vt:lpstr>
    </vt:vector>
  </TitlesOfParts>
  <Company>Ledgers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Copilot Playwright</dc:creator>
  <dc:title>Knowledge UI/UX Test Cases</dc:title>
  <dc:subject>Human-readable automated and manual UI/UX coverage for June Knowledge</dc:subject>
  <dc:description>{"schemaVersion":1,"module":"Knowledge","generatedAt":"2026-09-23T12:59:47.424Z","automatedCount":30,"manualCount":36,"sourceHashes":{"scripts/create-ui-ux-test-suites.mjs":"90e73e8f83f39210b5b5e5e9512fa2d4d35fca9e9506a6fac49188e225ff738d","test-cases/suite-tag-registry.mjs":"ee3c2d26fd81bb555b15bb3a6e0b07d21e57c35c7a05720dafafe30b29ababc4","test-cases/ui-ux-manual/index.mjs":"09e77d1a6d16bb5af7d92e3349e0d498032821b5c68385e24ed252131e3d320d","test-cases/ui-ux-manual/account.mjs":"a2b8c12598e6bc2af100f51d26fbc351d656d2c9491009262e5b75b9bedad49c","test-cases/ui-ux-manual/agents.mjs":"08fcdf480b75500707cff650322eb73399a4924899055fb1a7c0f561b22cddad","test-cases/ui-ux-manual/tools.mjs":"58aba157e933a3dca363858b7817a1ddc2d16817fb4c6ca4ed19d1da9df688c5","test-cases/ui-ux-manual/connectors.mjs":"f8b2529182a337902bb1661e83cd63096b8acbd8ee14a25ff0f82ded4d6d61e9","test-cases/ui-ux-manual/knowledge.mjs":"8ef1cc1a293c4cde86e332bef24be93a5c2f78aa2b0546b42c3dc3d659d11335","test-cases/ui-ux-manual/guardrails.mjs":"885446819076498f2a2ffd88536490d42cd3dd557815eae71854f7e81e731652","test-cases/ui-ux-manual/ui-components.mjs":"1c33fb8683959a2c0a6a816ff4e861d1b3b00dbb3b842eb89df9800561310b65","test-cases/ui-ux-manual/product-tour.mjs":"cce4527c3b65355aad554657854b02f29c4c9245445325048959cc98fc8cc609","test-data/ui-automation-test-catalog.xlsx":"75e99f00b93f022bbbb291602d4491b4c0180c0e61bd7b2e82a590106ec73dd0","test-data/knowledge-data-driven.xlsx":"7edd787181abd9a04f3fd1c0a861e3032ad685db1d94f534870327bbc7e3a04f","config/environments.json":"90fe37e6e777c7704ce19b19b103f9b48b12d74aae18e677c026ef7163c51661"},"workbookHash":"1353269b73ff71998cdf1f9d503737a1c4e955db6fd2316c75de6d5e39a03e51"}</dc:description>
  <cp:keywords/>
  <cp:category/>
  <cp:lastModifiedBy>QA Copilot Playwright</cp:lastModifiedBy>
  <dcterms:created xsi:type="dcterms:W3CDTF">2026-09-23T12:59:47Z</dcterms:created>
  <dcterms:modified xsi:type="dcterms:W3CDTF">2026-09-23T12:59:47Z</dcterms:modified>
</cp:coreProperties>
</file>