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utomated Cases" state="visible" r:id="rId5"/>
    <sheet sheetId="3" name="Manual UI UX Cases" state="visible" r:id="rId6"/>
    <sheet sheetId="4" name="Coverage Summary" state="visible" r:id="rId7"/>
    <sheet sheetId="5" name="Field Reference" state="visible" r:id="rId8"/>
  </sheets>
  <definedNames>
    <definedName name="_xlnm.Print_Titles" localSheetId="1">'Automated Cases'!$1:$1</definedName>
    <definedName name="_xlnm.Print_Titles" localSheetId="2">'Manual UI UX Cases'!$1:$1</definedName>
  </definedNames>
  <calcPr calcId="171027" fullCalcOnLoad="1"/>
</workbook>
</file>

<file path=xl/sharedStrings.xml><?xml version="1.0" encoding="utf-8"?>
<sst xmlns="http://schemas.openxmlformats.org/spreadsheetml/2006/main" count="1809" uniqueCount="889">
  <si>
    <t>UI Components UI/UX Test Suite</t>
  </si>
  <si>
    <t>Human-readable test design for review, execution and stakeholder sharing</t>
  </si>
  <si>
    <t>Topic</t>
  </si>
  <si>
    <t>Guidance</t>
  </si>
  <si>
    <t>Applies To</t>
  </si>
  <si>
    <t>Purpose</t>
  </si>
  <si>
    <t>Independent UI Components UI/UX test-case workbook. Scope: UI Component discovery, Information, Designs and Visibility, generation and preview feedback, persistence, update and security.</t>
  </si>
  <si>
    <t>All sheets</t>
  </si>
  <si>
    <t>Coverage</t>
  </si>
  <si>
    <t>30 current automated cases plus 34 additional manual UI/UX cases.</t>
  </si>
  <si>
    <t>Summary</t>
  </si>
  <si>
    <t>Existing data preserved</t>
  </si>
  <si>
    <t>The runtime workbook test-data/ui-components-data-driven.xlsx remains unchanged and continues to drive Playwright.</t>
  </si>
  <si>
    <t>Automation</t>
  </si>
  <si>
    <t>Automated Cases</t>
  </si>
  <si>
    <t>Plain-language view of the current Playwright coverage. Actions and assertions remain in code; test data remains in the runtime workbook.</t>
  </si>
  <si>
    <t>Manual UI/UX Cases</t>
  </si>
  <si>
    <t>Visual, usability, accessibility, responsive, feedback and compatibility checks that require human observation or assistive tools.</t>
  </si>
  <si>
    <t>Execute automation</t>
  </si>
  <si>
    <t>From the repository root: npm.cmd run env:run -- &lt;dev|uat|live&gt; ui-components. Append --headed for visible Chrome.</t>
  </si>
  <si>
    <t>Manual status</t>
  </si>
  <si>
    <t>Update only Status, Actual Result, Executed By, Executed On, Defect ID and Remarks while executing manual cases.</t>
  </si>
  <si>
    <t>Manual execution preservation</t>
  </si>
  <si>
    <t>Regeneration matches Manual UI UX Cases by Test Case ID and carries forward the editable execution fields for IDs that remain.</t>
  </si>
  <si>
    <t>Most important cases</t>
  </si>
  <si>
    <t>P0 is highest priority and is highlighted red; P1 is highlighted orange. The eight @smoke and @prod-smoke rows are the minimum read-only critical path, while @sanity is the broader fast confidence pack.</t>
  </si>
  <si>
    <t>Priority and suite tags</t>
  </si>
  <si>
    <t>Test Suites</t>
  </si>
  <si>
    <t>Registry-derived reusable packs such as Functional, Non-Functional, Smoke, Sanity, Regression, Accessibility, Performance and UAT.</t>
  </si>
  <si>
    <t>Both case sheets</t>
  </si>
  <si>
    <t>Execution Tags</t>
  </si>
  <si>
    <t>Automated rows contain registry tags synchronized to Playwright titles. Manual rows use reporting/filter tags and also include @manual, the module slug and normalized UX category.</t>
  </si>
  <si>
    <t>Run tagged automation</t>
  </si>
  <si>
    <t>Use npm.cmd run test:smoke, test:sanity, test:regression, test:security, test:a11y, test:api, test:e2e:tagged or test:integration. Each command selects the eight primary module files in Chrome.</t>
  </si>
  <si>
    <t>Environment-specific packs</t>
  </si>
  <si>
    <t>Use npm.cmd run test:uat:tagged for the UAT acceptance pack. npm.cmd run test:prod-smoke runs only the eight curated read-only @prod-smoke cases in LIVE.</t>
  </si>
  <si>
    <t>Manual-only packs</t>
  </si>
  <si>
    <t>Responsive, compatibility, visual-regression, performance, localization and exploratory tags identify designed manual reviews unless a row is explicitly present in Automated Cases.</t>
  </si>
  <si>
    <t>Retest</t>
  </si>
  <si>
    <t>Retest is defect-specific and intentionally not assigned statically; select the affected case when validating a particular fix.</t>
  </si>
  <si>
    <t>Execution planning</t>
  </si>
  <si>
    <t>Automation evidence</t>
  </si>
  <si>
    <t>Each executed Pass or Fail case automatically adds a privacy-masked final screenshot to the same Test Case ID row in the per-run Excel report under test-results/&lt;environment&gt;/excel. The row also links to the full image in its evidence folder; this static design workbook remains unchanged.</t>
  </si>
  <si>
    <t>Automated execution</t>
  </si>
  <si>
    <t>Manual evidence</t>
  </si>
  <si>
    <t>Attach screenshots, videos, accessibility output or defect links in the team test-management location; reference the Test Case ID.</t>
  </si>
  <si>
    <t>Manual execution</t>
  </si>
  <si>
    <t>Environment safety</t>
  </si>
  <si>
    <t>Use approved synthetic data. Review Write Operation cases before LIVE execution and confirm environment-specific accounts and permissions.</t>
  </si>
  <si>
    <t>All execution</t>
  </si>
  <si>
    <t>Expected results</t>
  </si>
  <si>
    <t>Results are written as observable outcomes so product, design, QA and engineering readers can interpret them consistently.</t>
  </si>
  <si>
    <t>All cases</t>
  </si>
  <si>
    <t>UI/UX scope</t>
  </si>
  <si>
    <t>API-only fields such as HTTP method, response status, JSONPath and response timing are outside this UI/UX workbook scope.</t>
  </si>
  <si>
    <t>Workbook design</t>
  </si>
  <si>
    <t>Regenerate</t>
  </si>
  <si>
    <t>From the repository root: npm.cmd run data:ui-ux-suites</t>
  </si>
  <si>
    <t>Maintenance</t>
  </si>
  <si>
    <t>Sequence</t>
  </si>
  <si>
    <t>Test Case ID</t>
  </si>
  <si>
    <t>Module</t>
  </si>
  <si>
    <t>Feature / Area</t>
  </si>
  <si>
    <t>Test Case Title</t>
  </si>
  <si>
    <t>Objective</t>
  </si>
  <si>
    <t>Preconditions</t>
  </si>
  <si>
    <t>Test Steps</t>
  </si>
  <si>
    <t>Test Data / Inputs</t>
  </si>
  <si>
    <t>Expected Result</t>
  </si>
  <si>
    <t>Category</t>
  </si>
  <si>
    <t>Scenario Type</t>
  </si>
  <si>
    <t>Priority</t>
  </si>
  <si>
    <t>Severity</t>
  </si>
  <si>
    <t>Automation Status</t>
  </si>
  <si>
    <t>Write Operation</t>
  </si>
  <si>
    <t>Environment</t>
  </si>
  <si>
    <t>Tags</t>
  </si>
  <si>
    <t>Source</t>
  </si>
  <si>
    <t>Notes</t>
  </si>
  <si>
    <t>UC-001</t>
  </si>
  <si>
    <t>UI Components</t>
  </si>
  <si>
    <t>UI Component navigation</t>
  </si>
  <si>
    <t>Open the UI Components module</t>
  </si>
  <si>
    <t>Verify authenticated entry to the UI Components module.</t>
  </si>
  <si>
    <t>1. A valid authenticated June session is available.</t>
  </si>
  <si>
    <t xml:space="preserve">1. Open UI Components.
2. Verify the heading, search control and Create UI Component action.</t>
  </si>
  <si>
    <t>No additional row data. Uses shared module settings and current page state.</t>
  </si>
  <si>
    <t>The UI Components page opens and is ready for authenticated interaction.</t>
  </si>
  <si>
    <t>Functional</t>
  </si>
  <si>
    <t>Positive</t>
  </si>
  <si>
    <t>P1</t>
  </si>
  <si>
    <t>Major</t>
  </si>
  <si>
    <t>Automated</t>
  </si>
  <si>
    <t>NO</t>
  </si>
  <si>
    <t>Configured DEV / UAT / LIVE</t>
  </si>
  <si>
    <t>Functional, Smoke, Production Smoke, Sanity, Regression, UAT</t>
  </si>
  <si>
    <t>@functional @smoke @prod-smoke @sanity @regression @uat</t>
  </si>
  <si>
    <t>flow, smoke, ui-components, navigation</t>
  </si>
  <si>
    <t>ui-components-data-driven.xlsx</t>
  </si>
  <si>
    <t/>
  </si>
  <si>
    <t>UC-002</t>
  </si>
  <si>
    <t>UI Component discovery</t>
  </si>
  <si>
    <t>Search for a visible UI Component and clear the search</t>
  </si>
  <si>
    <t>Verify search behavior against the current component list.</t>
  </si>
  <si>
    <t xml:space="preserve">1. A valid authenticated June session is available.
2. At least one UI Component is visible.</t>
  </si>
  <si>
    <t xml:space="preserve">1. Capture the visible component names.
2. Search using one visible component name.
3. Verify every displayed result matches.
4. Clear search and verify the original list returns.</t>
  </si>
  <si>
    <t>Search returns matching UI Components and clearing restores the original list.</t>
  </si>
  <si>
    <t>Functional, Sanity, Regression, UAT</t>
  </si>
  <si>
    <t>@functional @sanity @regression @uat</t>
  </si>
  <si>
    <t>flow, ui-components, search, regression</t>
  </si>
  <si>
    <t>UC-003</t>
  </si>
  <si>
    <t>Switch layouts and refresh UI Components</t>
  </si>
  <si>
    <t>Exercise both recorded layouts and the refresh action.</t>
  </si>
  <si>
    <t xml:space="preserve">1. Select the first component layout.
2. Select the second component layout.
3. Refresh the list.
4. Verify the page remains usable.</t>
  </si>
  <si>
    <t xml:space="preserve">View Indexes: 0, 1
Refresh Index: 2</t>
  </si>
  <si>
    <t>Both layouts select correctly and refresh completes without losing page controls.</t>
  </si>
  <si>
    <t>Functional, Regression</t>
  </si>
  <si>
    <t>@functional @regression</t>
  </si>
  <si>
    <t>flow, ui-components, layout, refresh, regression</t>
  </si>
  <si>
    <t>UC-004</t>
  </si>
  <si>
    <t>UI Component creation form</t>
  </si>
  <si>
    <t>Show every recorded UI Component field and wizard section</t>
  </si>
  <si>
    <t>Verify Information, Designs and Visibility plus their core controls.</t>
  </si>
  <si>
    <t xml:space="preserve">1. Open Create UI Component.
2. Verify Name, Description and Component Type.
3. Verify Information, Designs and Visibility tabs.
4. Verify Cancel, Create and Next actions.
5. Cancel the draft.</t>
  </si>
  <si>
    <t xml:space="preserve">Tabs: Information, Designs, Visibility
Required Fields: Name *, Description *, Component Type *
Actions: Cancel, Create, Next</t>
  </si>
  <si>
    <t>All recorded fields, wizard sections and primary actions are available.</t>
  </si>
  <si>
    <t>flow, ui-components, create, form, validation</t>
  </si>
  <si>
    <t>UC-005</t>
  </si>
  <si>
    <t>UI Component type selection</t>
  </si>
  <si>
    <t>Show all eight recorded component types</t>
  </si>
  <si>
    <t>Verify every component layout type captured by the manual flow.</t>
  </si>
  <si>
    <t xml:space="preserve">1. Open the Component Type selector.
2. Verify Table, Form, Card, List, Chart, Catalog, Checkout and Suggestion List.
3. Close the selector and cancel.</t>
  </si>
  <si>
    <t>Component Types: Table, Form, Card, List, Chart, Catalog, Checkout, Suggestion List</t>
  </si>
  <si>
    <t>The selector contains exactly the eight recorded component types.</t>
  </si>
  <si>
    <t>flow, ui-components, types, positive</t>
  </si>
  <si>
    <t>UC-006</t>
  </si>
  <si>
    <t>UI Component creation validation</t>
  </si>
  <si>
    <t>Reject a missing UI Component name</t>
  </si>
  <si>
    <t>Verify the required Name field blocks wizard progression.</t>
  </si>
  <si>
    <t xml:space="preserve">1. Enter Description and Component Type but leave Name empty.
2. Choose Next.
3. Verify Information remains active.
4. Cancel.</t>
  </si>
  <si>
    <t xml:space="preserve">Name: 
Description: Valid UI Component description
Component Type: {{COMPONENT_TYPE}}</t>
  </si>
  <si>
    <t>A missing Name is rejected and cannot advance to Designs.</t>
  </si>
  <si>
    <t>Negative</t>
  </si>
  <si>
    <t>Critical</t>
  </si>
  <si>
    <t>flow, negative, ui-components, validation, required-name</t>
  </si>
  <si>
    <t>UC-007</t>
  </si>
  <si>
    <t>Reject a missing UI Component description</t>
  </si>
  <si>
    <t>Verify the required Description field blocks wizard progression.</t>
  </si>
  <si>
    <t xml:space="preserve">1. Enter Name and Component Type but leave Description empty.
2. Choose Next.
3. Verify Information remains active.
4. Cancel.</t>
  </si>
  <si>
    <t xml:space="preserve">Name: {{DRAFT_NAME}}
Description: 
Component Type: {{COMPONENT_TYPE}}</t>
  </si>
  <si>
    <t>A missing Description is rejected and cannot advance to Designs.</t>
  </si>
  <si>
    <t>flow, negative, ui-components, validation, required-description</t>
  </si>
  <si>
    <t>UC-008</t>
  </si>
  <si>
    <t>Reject a missing UI Component type</t>
  </si>
  <si>
    <t>Verify the required Component Type blocks wizard progression.</t>
  </si>
  <si>
    <t xml:space="preserve">1. Enter Name and Description but leave Component Type empty.
2. Choose Next.
3. Verify Information remains active.
4. Cancel.</t>
  </si>
  <si>
    <t xml:space="preserve">Name: {{DRAFT_NAME}}
Description: {{CREATED_DESCRIPTION}}
Component Type: </t>
  </si>
  <si>
    <t>A missing Component Type is rejected and cannot advance to Designs.</t>
  </si>
  <si>
    <t>flow, negative, ui-components, validation, required-type</t>
  </si>
  <si>
    <t>UC-009</t>
  </si>
  <si>
    <t>Reject whitespace-only UI Component basics</t>
  </si>
  <si>
    <t>Verify required text values are trimmed before progression.</t>
  </si>
  <si>
    <t xml:space="preserve">1. Enter spaces in Name and Description.
2. Choose a Component Type and select Next.
3. Verify Information remains active.
4. Cancel.</t>
  </si>
  <si>
    <t xml:space="preserve">Whitespace Name:    
Whitespace Description:    
Component Type: {{COMPONENT_TYPE}}</t>
  </si>
  <si>
    <t>Whitespace-only Name and Description are rejected.</t>
  </si>
  <si>
    <t>flow, negative, ui-components, validation, whitespace</t>
  </si>
  <si>
    <t>UC-010</t>
  </si>
  <si>
    <t>UI Component cancellation</t>
  </si>
  <si>
    <t>Cancel a UI Component draft without persistence</t>
  </si>
  <si>
    <t>Verify cancelling a uniquely named draft creates no component.</t>
  </si>
  <si>
    <t xml:space="preserve">1. Enter a unique valid draft.
2. Navigate to Designs.
3. Cancel the wizard.
4. Search for the draft name.</t>
  </si>
  <si>
    <t>The cancelled UI Component draft is absent from the list.</t>
  </si>
  <si>
    <t>Positive + Negative</t>
  </si>
  <si>
    <t>flow, ui-components, cancel, persistence</t>
  </si>
  <si>
    <t>UC-011</t>
  </si>
  <si>
    <t>UI Component wizard</t>
  </si>
  <si>
    <t>Preserve values across Next, Back and tabs</t>
  </si>
  <si>
    <t>Verify wizard navigation retains Information and Designs values.</t>
  </si>
  <si>
    <t xml:space="preserve">1. Enter valid Information values.
2. Advance to Designs and enter a prompt.
3. Advance to Visibility.
4. Use Back to return through Designs and Information.
5. Verify all entered values remain.
6. Cancel.</t>
  </si>
  <si>
    <t>Prompt: {{DESIGN_PROMPT}}</t>
  </si>
  <si>
    <t>Information and design prompt values survive forward and backward navigation.</t>
  </si>
  <si>
    <t>flow, ui-components, wizard, data-integrity, regression</t>
  </si>
  <si>
    <t>UC-012</t>
  </si>
  <si>
    <t>UI Component design</t>
  </si>
  <si>
    <t>Validate recorded JSON and React editor controls</t>
  </si>
  <si>
    <t>Verify prompt, read-only JSON, React code, Format, Run and output viewer controls.</t>
  </si>
  <si>
    <t xml:space="preserve">1. Open Designs for a valid draft.
2. Verify the design prompt and both editors.
3. Verify generated JSON is read-only before generation.
4. Verify Format is disabled before JSON exists.
5. Verify Run and the empty output guidance.
6. Cancel.</t>
  </si>
  <si>
    <t xml:space="preserve">Prompt: A simple table with a visible QA marker and representative values.
Format Button: Format
Run Button: Run
Json Placeholder: { "component_name", "component_type", "data": { ... } }
React Placeholder: Generate or write React code</t>
  </si>
  <si>
    <t>All recorded design controls have the expected initial state.</t>
  </si>
  <si>
    <t>flow, ui-components, design, json, react, validation</t>
  </si>
  <si>
    <t>UC-013</t>
  </si>
  <si>
    <t>UI Component generation</t>
  </si>
  <si>
    <t>Generate JSON and React code and run the live preview</t>
  </si>
  <si>
    <t>Exercise the recorded Generate to Run path with a timestamped marker.</t>
  </si>
  <si>
    <t xml:space="preserve">1. Enter valid component information and a timestamped design prompt.
2. Generate JSON and React code.
3. Validate the generated schema and React export.
4. Run the preview.
5. Verify the timestamped marker is rendered.
6. Cancel without persistence.</t>
  </si>
  <si>
    <t>Generation returns valid component JSON and React code and Run renders the requested preview.</t>
  </si>
  <si>
    <t>End to end</t>
  </si>
  <si>
    <t>Functional, Regression, Integration</t>
  </si>
  <si>
    <t>@functional @regression @integration</t>
  </si>
  <si>
    <t>flow, ui-components, generation, json, react, preview, date-time</t>
  </si>
  <si>
    <t>UC-014</t>
  </si>
  <si>
    <t>UI Component visibility</t>
  </si>
  <si>
    <t>Validate Visibility controls and Owner access</t>
  </si>
  <si>
    <t>Verify employee search, selected-user count and Owner without saving.</t>
  </si>
  <si>
    <t xml:space="preserve">1. Prepare a valid draft and open Visibility.
2. Enter and clear employee search.
3. Verify Selected Users is zero.
4. Verify Owner is visible.
5. Cancel.</t>
  </si>
  <si>
    <t xml:space="preserve">Employee Search: qa-employee-does-not-exist@example.invalid
Selected Users Text: Selected Users (0)
Owner Text: Owner</t>
  </si>
  <si>
    <t>Visibility controls work without granting or persisting additional access.</t>
  </si>
  <si>
    <t>flow, ui-components, visibility, access, validation</t>
  </si>
  <si>
    <t>UC-015</t>
  </si>
  <si>
    <t>UI Component visibility validation</t>
  </si>
  <si>
    <t>Keep unmatched Visibility searches unselected</t>
  </si>
  <si>
    <t>Verify an unknown employee search does not alter selected access.</t>
  </si>
  <si>
    <t xml:space="preserve">1. Open Visibility on a valid draft.
2. Search for a nonexistent employee.
3. Verify Selected Users remains zero.
4. Verify Owner remains visible.
5. Cancel.</t>
  </si>
  <si>
    <t xml:space="preserve">Access Search: qa-employee-does-not-exist@example.invalid
Selected Users Text: Selected Users (0)
Owner Text: Owner</t>
  </si>
  <si>
    <t>An unmatched employee search grants no UI Component access.</t>
  </si>
  <si>
    <t>flow, ui-components, visibility, negative, authorization</t>
  </si>
  <si>
    <t>UC-016</t>
  </si>
  <si>
    <t>UI Component accessibility</t>
  </si>
  <si>
    <t>Give layout and card action controls accessible names</t>
  </si>
  <si>
    <t>Verify icon-only discovery controls expose meaningful accessible names.</t>
  </si>
  <si>
    <t xml:space="preserve">1. Inspect the three layout and refresh controls.
2. Inspect each visible card action trigger.
3. Verify every icon-only button has an accessible name.</t>
  </si>
  <si>
    <t xml:space="preserve">Layout Control Count: 3
Require Accessible Names: true</t>
  </si>
  <si>
    <t>Layout, refresh and card action controls expose unique accessible names.</t>
  </si>
  <si>
    <t>Accessibility</t>
  </si>
  <si>
    <t>Functional, Non-Functional, Sanity, Regression, Accessibility, UAT</t>
  </si>
  <si>
    <t>@functional @non-functional @sanity @regression @a11y @uat</t>
  </si>
  <si>
    <t>flow, ui-components, accessibility, a11y, negative</t>
  </si>
  <si>
    <t>UC-017</t>
  </si>
  <si>
    <t>UI Component creation</t>
  </si>
  <si>
    <t>Create a date-time-stamped generated UI Component</t>
  </si>
  <si>
    <t>Create real synthetic component data using the run timestamp.</t>
  </si>
  <si>
    <t xml:space="preserve">1. A valid authenticated June session is available.
2. The active business permits UI Component creation.</t>
  </si>
  <si>
    <t xml:space="preserve">1. Enter the unique timestamped name and description.
2. Choose the configured component type.
3. Generate JSON and React code from the timestamped prompt.
4. Run and verify the preview.
5. Verify Visibility Owner and create the component.
6. Search for its exact name.</t>
  </si>
  <si>
    <t xml:space="preserve">Component Type: {{COMPONENT_TYPE}}
Prompt: {{DESIGN_PROMPT}}</t>
  </si>
  <si>
    <t>Exactly one date-time-stamped generated UI Component is created and visible.</t>
  </si>
  <si>
    <t>YES</t>
  </si>
  <si>
    <t>Functional, Regression, End-to-End, Integration</t>
  </si>
  <si>
    <t>@functional @regression @e2e @integration</t>
  </si>
  <si>
    <t>flow, write, ui-components, create, generation, date-time</t>
  </si>
  <si>
    <t>UC-018</t>
  </si>
  <si>
    <t>UI Component creation verification</t>
  </si>
  <si>
    <t>Verify persisted UI Component creation values</t>
  </si>
  <si>
    <t>Reopen the created component and compare Information, Designs and Visibility.</t>
  </si>
  <si>
    <t>1. UC-017 created the UI Component in the same run.</t>
  </si>
  <si>
    <t xml:space="preserve">1. Open the created UI Component for editing.
2. Verify Name, Description and Component Type.
3. Verify generated JSON and React code were retained.
4. Verify Visibility Owner.
5. Cancel.</t>
  </si>
  <si>
    <t>Component Type: {{COMPONENT_TYPE}}</t>
  </si>
  <si>
    <t>The created UI Component retains all generated and entered values.</t>
  </si>
  <si>
    <t>flow, ui-components, create, persistence, verification</t>
  </si>
  <si>
    <t>UC-019</t>
  </si>
  <si>
    <t>Find the created UI Component by exact unique name</t>
  </si>
  <si>
    <t>Verify exact search locates only the current run component.</t>
  </si>
  <si>
    <t xml:space="preserve">1. Search for the complete unique name.
2. Verify its card is visible.
3. Verify unrelated cards are absent.
4. Clear search.</t>
  </si>
  <si>
    <t>Exact search returns the created UI Component without unrelated results.</t>
  </si>
  <si>
    <t>Functional, Regression, End-to-End</t>
  </si>
  <si>
    <t>@functional @regression @e2e</t>
  </si>
  <si>
    <t>flow, ui-components, search, created-data, regression</t>
  </si>
  <si>
    <t>UC-020</t>
  </si>
  <si>
    <t>UI Component edit validation</t>
  </si>
  <si>
    <t>Validate required fields while editing</t>
  </si>
  <si>
    <t>Confirm required Information rules apply in edit mode without saving invalid values.</t>
  </si>
  <si>
    <t xml:space="preserve">1. Open the created UI Component for editing.
2. Clear Name and try to advance.
3. Restore Name, clear Description and try to advance.
4. Restore valid values and cancel.</t>
  </si>
  <si>
    <t>Invalid Edits: 1) Label=name is empty, Name=, Description={{CREATED_DESCRIPTION}}; 2) Label=description is empty, Name={{UI_COMPONENT_NAME}}, Description=</t>
  </si>
  <si>
    <t>Edit mode blocks each missing required value and cancellation preserves the component.</t>
  </si>
  <si>
    <t>flow, negative, ui-components, edit, validation</t>
  </si>
  <si>
    <t>UC-021</t>
  </si>
  <si>
    <t>UI Component update</t>
  </si>
  <si>
    <t>Rename, regenerate and update the UI Component</t>
  </si>
  <si>
    <t>Perform the recorded edit with timestamped values and a different component type.</t>
  </si>
  <si>
    <t xml:space="preserve">1. Open the created UI Component for editing.
2. Replace Name, Description and Component Type.
3. Regenerate JSON and React code using the updated timestamped prompt.
4. Run and verify the updated preview.
5. Submit Update and search for the updated name.</t>
  </si>
  <si>
    <t xml:space="preserve">Updated Component Type: {{UPDATED_COMPONENT_TYPE}}
Updated Prompt: {{UPDATED_DESIGN_PROMPT}}</t>
  </si>
  <si>
    <t>The UI Component is renamed and its updated type and generated design are saved.</t>
  </si>
  <si>
    <t>flow, write, ui-components, edit, update, generation, date-time</t>
  </si>
  <si>
    <t>UC-022</t>
  </si>
  <si>
    <t>UI Component update verification</t>
  </si>
  <si>
    <t>Verify every persisted UI Component update</t>
  </si>
  <si>
    <t>Reopen the renamed component and compare changed values and generated design.</t>
  </si>
  <si>
    <t>1. UC-021 updated the UI Component in the same run.</t>
  </si>
  <si>
    <t xml:space="preserve">1. Open the updated UI Component.
2. Verify updated Name, Description and Component Type.
3. Verify updated JSON and React code.
4. Verify Visibility Owner and cancel.</t>
  </si>
  <si>
    <t>Component Type: {{UPDATED_COMPONENT_TYPE}}</t>
  </si>
  <si>
    <t>Every updated UI Component value remains persisted.</t>
  </si>
  <si>
    <t>flow, ui-components, update, persistence, verification</t>
  </si>
  <si>
    <t>UC-023</t>
  </si>
  <si>
    <t>UI Component actions</t>
  </si>
  <si>
    <t>Restrict component card actions to Edit and Delete</t>
  </si>
  <si>
    <t>Verify the recorded action menu on the run-created UI Component.</t>
  </si>
  <si>
    <t xml:space="preserve">1. Open the updated component action menu.
2. Capture every menu item.
3. Verify Edit and Delete.
4. Dismiss without selecting an action.</t>
  </si>
  <si>
    <t>Expected Menu Items: Edit, Delete</t>
  </si>
  <si>
    <t>The UI Component action menu contains exactly Edit and Delete.</t>
  </si>
  <si>
    <t>flow, ui-components, actions, allowlist, regression</t>
  </si>
  <si>
    <t>UC-024</t>
  </si>
  <si>
    <t>UI Component input security</t>
  </si>
  <si>
    <t>Escape XSS payloads in UI Component fields</t>
  </si>
  <si>
    <t>Confirm unsaved Information and Designs input remains inert text.</t>
  </si>
  <si>
    <t xml:space="preserve">1. Set a harmless execution marker.
2. Enter XSS-shaped Information and Designs values.
3. Verify no script execution.
4. Cancel and verify no persistence.</t>
  </si>
  <si>
    <t>Xss Payload: {{XSS_MARKER}}</t>
  </si>
  <si>
    <t>UI Component fields do not execute or persist the XSS payload.</t>
  </si>
  <si>
    <t>Security</t>
  </si>
  <si>
    <t>Functional, Non-Functional, Regression, Security</t>
  </si>
  <si>
    <t>@functional @non-functional @regression @security</t>
  </si>
  <si>
    <t>flow, security, ui-components, xss, input-encoding</t>
  </si>
  <si>
    <t>UC-025</t>
  </si>
  <si>
    <t>UI Component search security</t>
  </si>
  <si>
    <t>Handle injection-shaped UI Component searches safely</t>
  </si>
  <si>
    <t>Verify SQL, NoSQL and XSS-like searches are treated literally.</t>
  </si>
  <si>
    <t xml:space="preserve">1. Capture the initial component names.
2. Search with SQL, NoSQL and XSS-like strings.
3. Verify no execution or result expansion.
4. Clear search and verify restoration.</t>
  </si>
  <si>
    <t>Search Payloads: {{SQL_INJECTION_MARKER}}, {"$ne":null}, {{XSS_MARKER}}</t>
  </si>
  <si>
    <t>Injection-shaped search input remains literal and does not execute or expand results.</t>
  </si>
  <si>
    <t>flow, security, ui-components, search, injection, xss</t>
  </si>
  <si>
    <t>UC-026</t>
  </si>
  <si>
    <t>UI Component data protection</t>
  </si>
  <si>
    <t>Keep synthetic secrets out of URLs and closed DOM</t>
  </si>
  <si>
    <t>Verify cancelled UI Component data is removed from the visible application.</t>
  </si>
  <si>
    <t xml:space="preserve">1. Enter a synthetic secret in an unsaved draft.
2. Verify the URL excludes it.
3. Cancel the wizard.
4. Verify the URL and remaining DOM exclude it.</t>
  </si>
  <si>
    <t>Secret Value: {{SYNTHETIC_SECRET_PREFIX}}-{{RUN_COMPACT}}</t>
  </si>
  <si>
    <t>Synthetic draft secrets remain out of URLs and disappear after cancellation.</t>
  </si>
  <si>
    <t>flow, security, ui-components, data-protection, cancel</t>
  </si>
  <si>
    <t>UC-027</t>
  </si>
  <si>
    <t>UI Component access security</t>
  </si>
  <si>
    <t>Prevent Visibility search injection from selecting users</t>
  </si>
  <si>
    <t>Verify injected employee search cannot grant UI Component access.</t>
  </si>
  <si>
    <t xml:space="preserve">1. Open Visibility on a valid draft.
2. Enter injection-shaped employee search.
3. Verify Selected Users remains zero.
4. Verify Owner remains visible and cancel.</t>
  </si>
  <si>
    <t xml:space="preserve">Access Search Payload: {{SQL_INJECTION_MARKER}}
Selected Users Text: Selected Users (0)
Owner Text: Owner</t>
  </si>
  <si>
    <t>Injection-shaped Visibility search grants no additional permission.</t>
  </si>
  <si>
    <t>flow, security, ui-components, access, authorization</t>
  </si>
  <si>
    <t>UC-028</t>
  </si>
  <si>
    <t>UI Component transport security</t>
  </si>
  <si>
    <t>Return baseline browser security headers for UI Components</t>
  </si>
  <si>
    <t>Verify HTTPS and baseline browser security headers.</t>
  </si>
  <si>
    <t xml:space="preserve">1. Open the UI Components HTTPS route.
2. Capture response headers.
3. Verify transport, anti-sniffing and browser-policy headers.
4. Verify frame protection.</t>
  </si>
  <si>
    <t xml:space="preserve">Required Headers: strict-transport-security, content-security-policy
Frame Protection Headers: content-security-policy, x-frame-options
Content Type Options: nosniff</t>
  </si>
  <si>
    <t>The UI Components document uses HTTPS and returns baseline security headers.</t>
  </si>
  <si>
    <t>flow, security, ui-components, headers, https, clickjacking</t>
  </si>
  <si>
    <t>UC-029</t>
  </si>
  <si>
    <t>UI Component authentication security</t>
  </si>
  <si>
    <t>Block anonymous access to UI Component controls</t>
  </si>
  <si>
    <t>Verify a fresh browser context cannot expose authenticated component controls.</t>
  </si>
  <si>
    <t xml:space="preserve">1. Open UI Components in a fresh context without storage state.
2. Wait for authentication handling.
3. Verify search and Create UI Component are not exposed.</t>
  </si>
  <si>
    <t xml:space="preserve">Ui Components Path: /ui-components
Search Placeholder: Search ui components...
Create Button: Create UI Component</t>
  </si>
  <si>
    <t>Anonymous users cannot view authenticated UI Component controls.</t>
  </si>
  <si>
    <t>flow, security, ui-components, authentication, authorization</t>
  </si>
  <si>
    <t>UC-030</t>
  </si>
  <si>
    <t>UI Component deletion</t>
  </si>
  <si>
    <t>Cancel then confirm deletion of the synthetic UI Component</t>
  </si>
  <si>
    <t>Verify delete confirmation and remove only the component created by this run.</t>
  </si>
  <si>
    <t>1. UC-021 updated the synthetic UI Component in the same run.</t>
  </si>
  <si>
    <t xml:space="preserve">1. Open Delete for the updated component.
2. Cancel and verify the component remains.
3. Open Delete again and confirm.
4. Search for the exact name and verify it is absent.</t>
  </si>
  <si>
    <t xml:space="preserve">Cancel Button: Cancel
Delete Button: Delete</t>
  </si>
  <si>
    <t>Cancel preserves the component, while confirmed deletion removes only the synthetic run component.</t>
  </si>
  <si>
    <t>flow, write, ui-components, delete, cleanup, regression</t>
  </si>
  <si>
    <t>Test Data / Viewport</t>
  </si>
  <si>
    <t>UX Category</t>
  </si>
  <si>
    <t>Review Method</t>
  </si>
  <si>
    <t>Recommended Environment</t>
  </si>
  <si>
    <t>Status</t>
  </si>
  <si>
    <t>Actual Result</t>
  </si>
  <si>
    <t>Executed By</t>
  </si>
  <si>
    <t>Executed On</t>
  </si>
  <si>
    <t>Defect ID</t>
  </si>
  <si>
    <t>Remarks</t>
  </si>
  <si>
    <t>UC-UX-001</t>
  </si>
  <si>
    <t>Page shell</t>
  </si>
  <si>
    <t>Present a clear UI Components page hierarchy</t>
  </si>
  <si>
    <t>Confirm that users can immediately identify the module, current business context, discovery controls and primary action.</t>
  </si>
  <si>
    <t xml:space="preserve">1. The user is authenticated in a test business containing at least three UI Components.
2. The signed-in role can open the UI Components module.</t>
  </si>
  <si>
    <t xml:space="preserve">1. Open UI Components and wait for the page content to settle.
2. Review the heading, business context, Create UI Component action, search, layout controls, refresh control and cards.
3. Scan the page from top to bottom without interacting.</t>
  </si>
  <si>
    <t>Chrome at 1440 x 900; business containing at least three representative components.</t>
  </si>
  <si>
    <t>One clear UI Components heading is present; Create UI Component is the obvious primary action; discovery controls are logically grouped; current context is unambiguous; no text, card or control is clipped or overlapping.</t>
  </si>
  <si>
    <t>Usability</t>
  </si>
  <si>
    <t>Manual visual review with a full-page screenshot.</t>
  </si>
  <si>
    <t>P2</t>
  </si>
  <si>
    <t>Minor</t>
  </si>
  <si>
    <t>DEV first; repeat in UAT before release.</t>
  </si>
  <si>
    <t>Non-Functional, Regression</t>
  </si>
  <si>
    <t>@non-functional @regression @manual @ui-components @usability</t>
  </si>
  <si>
    <t>Not Run</t>
  </si>
  <si>
    <t>UC-UX-002</t>
  </si>
  <si>
    <t>Loading state</t>
  </si>
  <si>
    <t>Provide a stable initial loading experience</t>
  </si>
  <si>
    <t>Verify that component discovery provides useful feedback and remains visually stable while data is loading.</t>
  </si>
  <si>
    <t xml:space="preserve">1. The user is authenticated and can open UI Components.
2. Chrome DevTools network throttling is available.</t>
  </si>
  <si>
    <t xml:space="preserve">1. Enable Slow 3G and disable the browser cache.
2. Reload UI Components.
3. Observe the page from navigation until cards finish loading.</t>
  </si>
  <si>
    <t>Chrome at 1440 x 900 with Slow 3G and cache disabled.</t>
  </si>
  <si>
    <t>A visible progress or skeleton state replaces a prolonged blank surface; unavailable actions are not misleadingly enabled; loading and final content do not overlap; focus remains stable; the loading indicator is removed once after completion.</t>
  </si>
  <si>
    <t>Feedback</t>
  </si>
  <si>
    <t>DevTools throttling, manual observation and screen recording.</t>
  </si>
  <si>
    <t>DEV for controlled throttling; confirm the normal state in UAT.</t>
  </si>
  <si>
    <t>@non-functional @regression @feedback @manual @ui-components</t>
  </si>
  <si>
    <t>UC-UX-003</t>
  </si>
  <si>
    <t>Error state</t>
  </si>
  <si>
    <t>Recover from a component-list loading failure</t>
  </si>
  <si>
    <t>Verify that a list failure is distinguishable from an empty result and can be recovered without another login.</t>
  </si>
  <si>
    <t xml:space="preserve">1. The current business normally contains UI Components.
2. The component-list request can be failed in a controlled environment.</t>
  </si>
  <si>
    <t xml:space="preserve">1. Force the component-list request to fail and open UI Components.
2. Review the failure message and keyboard focus.
3. Restore the request and activate Retry using the keyboard.</t>
  </si>
  <si>
    <t>One simulated network or HTTP 5xx list failure followed by a successful retry.</t>
  </si>
  <si>
    <t>The failure is not shown as an empty list; a human-readable message appears without stack traces or internal details; Retry is keyboard accessible; retry restores cards without duplicates and without requiring a new login.</t>
  </si>
  <si>
    <t>Resilience</t>
  </si>
  <si>
    <t>Request interception, keyboard operation and visual review.</t>
  </si>
  <si>
    <t>DEV only for fault injection; confirm standard error wording in UAT.</t>
  </si>
  <si>
    <t>Non-Functional, Regression, Accessibility</t>
  </si>
  <si>
    <t>@non-functional @regression @a11y @manual @resilience @ui-components</t>
  </si>
  <si>
    <t>UC-UX-004</t>
  </si>
  <si>
    <t>Empty state</t>
  </si>
  <si>
    <t>Guide a user when the business has no UI Components</t>
  </si>
  <si>
    <t>Ensure that a first-time empty business receives clear guidance and an obvious next action.</t>
  </si>
  <si>
    <t>1. The user is authenticated in a dedicated business containing no UI Components.</t>
  </si>
  <si>
    <t xml:space="preserve">1. Open UI Components.
2. Review the empty-state heading, explanation and available action.
3. Activate the primary empty-state action.</t>
  </si>
  <si>
    <t>Dedicated empty DEV or UAT business; Chrome at 1366 x 768.</t>
  </si>
  <si>
    <t>A clear no-components-yet message explains the state; Create UI Component is offered as the next action; the state is not confused with loading or failure; activating the action opens the create wizard.</t>
  </si>
  <si>
    <t>Empty-state UX</t>
  </si>
  <si>
    <t>Manual visual and interaction review with screenshot evidence.</t>
  </si>
  <si>
    <t>DEV or UAT using a dedicated empty business.</t>
  </si>
  <si>
    <t>@non-functional @regression @empty-state-ux @manual @ui-components</t>
  </si>
  <si>
    <t>UC-UX-005</t>
  </si>
  <si>
    <t>Search empty state</t>
  </si>
  <si>
    <t>Distinguish no search matches from no components</t>
  </si>
  <si>
    <t>Confirm that users understand why no cards are displayed after a nonmatching search and can recover easily.</t>
  </si>
  <si>
    <t>1. The current business contains multiple visible UI Components.</t>
  </si>
  <si>
    <t xml:space="preserve">1. Enter a unique query that cannot match an existing component.
2. Review the resulting message and retained search value.
3. Clear the query using the visible control and keyboard.</t>
  </si>
  <si>
    <t>Search text: qa-no-ui-component-match-987654.</t>
  </si>
  <si>
    <t>The query remains visible; the message says that no components match rather than implying that none exist; a clear action is available and keyboard operable; clearing restores the original cards.</t>
  </si>
  <si>
    <t>Search UX</t>
  </si>
  <si>
    <t>Manual interaction and content review.</t>
  </si>
  <si>
    <t>@non-functional @regression @manual @search-ux @ui-components</t>
  </si>
  <si>
    <t>UC-UX-006</t>
  </si>
  <si>
    <t>Search</t>
  </si>
  <si>
    <t>Keep live search focus and clearing predictable</t>
  </si>
  <si>
    <t>Assess interaction quality while typing without duplicating automated search-result assertions.</t>
  </si>
  <si>
    <t>1. The business contains components with distinguishable names.</t>
  </si>
  <si>
    <t xml:space="preserve">1. Type a known component name one character at a time.
2. Paste another partial term and then remove characters.
3. Clear search with the visible control and then with the keyboard.</t>
  </si>
  <si>
    <t>One existing component name, one pasted partial term and one term containing spaces.</t>
  </si>
  <si>
    <t>The input retains focus and caret position; results do not flicker between stale states; text remains exactly as entered; the clear control has an accessible name and returns immediately to the unfiltered view.</t>
  </si>
  <si>
    <t>Manual keyboard and visual review.</t>
  </si>
  <si>
    <t>@non-functional @regression @a11y @manual @ui-components @usability</t>
  </si>
  <si>
    <t>UC-UX-007</t>
  </si>
  <si>
    <t>Layout and refresh controls</t>
  </si>
  <si>
    <t>Communicate layout selection and refresh progress</t>
  </si>
  <si>
    <t>Ensure that layout and refresh actions provide clear state feedback without disturbing the user.</t>
  </si>
  <si>
    <t xml:space="preserve">1. At least five component cards are visible.
2. Network throttling is available for the refresh review.</t>
  </si>
  <si>
    <t xml:space="preserve">1. Select each layout using mouse and keyboard.
2. Enable throttling and activate Refresh.
3. Observe selected state, loading feedback, focus and card placement.</t>
  </si>
  <si>
    <t>Both recorded layouts; Slow 3G for one refresh.</t>
  </si>
  <si>
    <t>The selected layout is visually and programmatically clear; selection is not conveyed by color alone; Refresh is distinguishable from layout radio controls; progress appears during refresh; focus and search text remain stable; cards are not duplicated.</t>
  </si>
  <si>
    <t>Interaction feedback</t>
  </si>
  <si>
    <t>Keyboard, accessibility-tree and throttled visual review.</t>
  </si>
  <si>
    <t>DEV for throttling; confirm visual states in UAT.</t>
  </si>
  <si>
    <t>@non-functional @regression @a11y @interaction-feedback @manual @ui-components</t>
  </si>
  <si>
    <t>UC-UX-008</t>
  </si>
  <si>
    <t>Component cards</t>
  </si>
  <si>
    <t>Render long and international card content safely</t>
  </si>
  <si>
    <t>Verify that long text, Unicode and emoji do not break cards or hide actions in either layout.</t>
  </si>
  <si>
    <t>1. A safely seeded component has a long name and description containing Unicode and emoji.</t>
  </si>
  <si>
    <t xml:space="preserve">1. Locate the seeded component in each layout.
2. Inspect wrapping or truncation for every long value.
3. Use mouse and keyboard to access the complete value and card actions.</t>
  </si>
  <si>
    <t>A 120-character name, 500-character description, accented text, CJK characters and emoji.</t>
  </si>
  <si>
    <t>Text does not overlap the card or actions; truncation is consistent; complete meaningful text is available through an accessible tooltip or detail view; Unicode renders correctly; every action remains reachable.</t>
  </si>
  <si>
    <t>Content resilience</t>
  </si>
  <si>
    <t>Manual visual, mouse and keyboard review at two desktop widths.</t>
  </si>
  <si>
    <t>DEV or UAT using approved synthetic content.</t>
  </si>
  <si>
    <t>@non-functional @regression @a11y @content-resilience @manual @ui-components</t>
  </si>
  <si>
    <t>UC-UX-009</t>
  </si>
  <si>
    <t>Card action menu</t>
  </si>
  <si>
    <t>Make card actions easy and safe to operate</t>
  </si>
  <si>
    <t>Confirm that the action trigger and menu have clear affordances, usable hit targets and predictable focus behavior.</t>
  </si>
  <si>
    <t>1. At least one visible component is editable by the signed-in user.</t>
  </si>
  <si>
    <t xml:space="preserve">1. Hover and focus the card action trigger.
2. Open the menu using Enter or Space, navigate with arrow keys and close with Escape.
3. Open it again near each viewport edge and inspect positioning.</t>
  </si>
  <si>
    <t>One editable component card; Chrome at 1440 x 900 and 1024 x 768.</t>
  </si>
  <si>
    <t>The trigger has visible hover and focus states and a target of at least 24 by 24 CSS pixels; menu focus moves to the menu and returns to the trigger on close; Edit and Delete remain visible, labelled and unclipped; no action fires accidentally.</t>
  </si>
  <si>
    <t>Usability and accessibility</t>
  </si>
  <si>
    <t>Mouse, keyboard, focus and viewport-edge review.</t>
  </si>
  <si>
    <t>Non-Functional, Regression, Accessibility, Responsive</t>
  </si>
  <si>
    <t>@non-functional @regression @a11y @responsive @manual @ui-components @usability-and-accessibility</t>
  </si>
  <si>
    <t>UC-UX-010</t>
  </si>
  <si>
    <t>Wizard structure</t>
  </si>
  <si>
    <t>Communicate wizard hierarchy and progress</t>
  </si>
  <si>
    <t>Confirm that users understand their current step and available navigation throughout component creation and editing.</t>
  </si>
  <si>
    <t>1. The UI Components page is open and Create UI Component is available.</t>
  </si>
  <si>
    <t xml:space="preserve">1. Open Create UI Component and review its title and step labels.
2. Move from Information to Designs and Visibility.
3. Move backward once and compare current, completed and upcoming states.</t>
  </si>
  <si>
    <t>Create wizard at 1366 x 768 using minimal valid synthetic information.</t>
  </si>
  <si>
    <t>The dialog clearly identifies create mode; Information, Designs and Visibility appear in logical order; current, completed and upcoming states are distinguishable without color alone; the displayed panel matches the active tab; action placement remains consistent.</t>
  </si>
  <si>
    <t>Wizard usability</t>
  </si>
  <si>
    <t>Manual visual and interaction review.</t>
  </si>
  <si>
    <t>@non-functional @regression @manual @ui-components @wizard-usability</t>
  </si>
  <si>
    <t>UC-UX-011</t>
  </si>
  <si>
    <t>Wizard focus management</t>
  </si>
  <si>
    <t>Manage focus correctly when the wizard opens and closes</t>
  </si>
  <si>
    <t>Prevent keyboard focus from becoming lost or reaching background content while the modal is open.</t>
  </si>
  <si>
    <t>1. The Create UI Component button is visible and focused.</t>
  </si>
  <si>
    <t xml:space="preserve">1. Open the wizard using Enter.
2. Tab through its interactive controls and attempt to move beyond the final control.
3. Cancel the wizard using the keyboard.</t>
  </si>
  <si>
    <t>Chrome at 1440 x 900; keyboard only.</t>
  </si>
  <si>
    <t>Focus enters the dialog at its heading or first logical field; background controls cannot receive focus while the dialog is open; focus cycles predictably; closing returns focus to Create UI Component.</t>
  </si>
  <si>
    <t>Keyboard-only review with visible focus tracking.</t>
  </si>
  <si>
    <t>@non-functional @regression @a11y @accessibility @manual @ui-components</t>
  </si>
  <si>
    <t>UC-UX-012</t>
  </si>
  <si>
    <t>Keyboard operation</t>
  </si>
  <si>
    <t>Complete every wizard step without a mouse</t>
  </si>
  <si>
    <t>Ensure that fields, tabs, component-type options, editors and actions are keyboard operable.</t>
  </si>
  <si>
    <t xml:space="preserve">1. Valid approved synthetic component data is available.
2. The create wizard is open.</t>
  </si>
  <si>
    <t xml:space="preserve">1. Complete Information using only the keyboard.
2. Operate Designs inputs, generation controls, editors and preview controls.
3. Reach Visibility and then operate Back, Next and Cancel.</t>
  </si>
  <si>
    <t>Tab, Shift+Tab, arrows, Enter, Space, Escape and documented editor-exit shortcut.</t>
  </si>
  <si>
    <t>Focus order follows visual order and remains visible; tabs, options and buttons respond to standard keys; code editors provide a reliable way to leave them; there is no keyboard trap, unexpected dismissal or unintended submission.</t>
  </si>
  <si>
    <t>Keyboard-only end-to-end review.</t>
  </si>
  <si>
    <t>UC-UX-013</t>
  </si>
  <si>
    <t>Wizard dismissal</t>
  </si>
  <si>
    <t>Protect unsaved component drafts from accidental loss</t>
  </si>
  <si>
    <t>Verify that every supported dismissal route handles unsaved values consistently and safely.</t>
  </si>
  <si>
    <t>1. The create wizard contains unique unsaved Information and Designs values.</t>
  </si>
  <si>
    <t xml:space="preserve">1. Attempt to leave using Cancel, the close icon, Escape, an outside click and browser Back separately.
2. Choose Keep Editing when prompted and verify the draft.
3. Repeat and choose Discard.</t>
  </si>
  <si>
    <t>Unique unsaved marker: QA-UNSAVED-UC-UX-013.</t>
  </si>
  <si>
    <t>Every supported dismissal route behaves consistently; unsaved changes trigger confirmation; Keep Editing preserves all values and focus; Discard closes without saving; an outside click cannot silently erase entered work.</t>
  </si>
  <si>
    <t>Data-loss prevention</t>
  </si>
  <si>
    <t>Manual interaction review with confirmation screenshots.</t>
  </si>
  <si>
    <t>@non-functional @regression @data-loss-prevention @manual @ui-components</t>
  </si>
  <si>
    <t>UC-UX-014</t>
  </si>
  <si>
    <t>Information validation</t>
  </si>
  <si>
    <t>Present clear and accessible required-field feedback</t>
  </si>
  <si>
    <t>Assess the quality of Name, Description and Component Type errors rather than only whether progression is blocked.</t>
  </si>
  <si>
    <t>1. A new create wizard is open on Information with required fields empty.</t>
  </si>
  <si>
    <t xml:space="preserve">1. Review how required status is communicated before submission.
2. Select Next with all required values missing.
3. Inspect each error visually and in the browser accessibility tree.</t>
  </si>
  <si>
    <t>Empty Name and Description with no Component Type selected.</t>
  </si>
  <si>
    <t>Each invalid control has a nearby specific message; required state is communicated before submission; focus moves to the first invalid control; invalid state and descriptions are exposed programmatically; errors do not rely on color or a generic toast alone.</t>
  </si>
  <si>
    <t>Validation and accessibility</t>
  </si>
  <si>
    <t>Manual visual, keyboard and accessibility-tree review.</t>
  </si>
  <si>
    <t>@non-functional @regression @a11y @manual @ui-components @validation-and-accessibility</t>
  </si>
  <si>
    <t>UC-UX-015</t>
  </si>
  <si>
    <t>Validation recovery</t>
  </si>
  <si>
    <t>Clear field errors progressively without losing valid data</t>
  </si>
  <si>
    <t>Ensure that correcting one Information field clears only its own feedback and preserves other values.</t>
  </si>
  <si>
    <t>1. Name, Description and Component Type validation errors are displayed.</t>
  </si>
  <si>
    <t xml:space="preserve">1. Correct one invalid field and move focus away from it.
2. Review that field and all unresolved invalid controls.
3. Correct the remaining controls individually and select Next.</t>
  </si>
  <si>
    <t>Valid synthetic name, description and Table component type entered one at a time.</t>
  </si>
  <si>
    <t>Only the corrected control error clears; unresolved errors remain; valid values are not erased; caret and focus remain stable; Designs opens once all requirements are satisfied.</t>
  </si>
  <si>
    <t>Validation UX</t>
  </si>
  <si>
    <t>Manual interaction and focus review.</t>
  </si>
  <si>
    <t>@non-functional @regression @a11y @manual @ui-components @validation-ux</t>
  </si>
  <si>
    <t>UC-UX-016</t>
  </si>
  <si>
    <t>Component Type selector</t>
  </si>
  <si>
    <t>Help users choose between the eight component types</t>
  </si>
  <si>
    <t>Verify that type choices are understandable and distinguishable, beyond checking that all eight values exist.</t>
  </si>
  <si>
    <t>1. The create wizard is open on Information.</t>
  </si>
  <si>
    <t xml:space="preserve">1. Open Component Type using mouse and keyboard.
2. Review Table, Form, Card, List, Chart, Catalog, Checkout and Suggestion List.
3. Navigate options with arrows, select one and reopen the selector.</t>
  </si>
  <si>
    <t>All eight recorded component types.</t>
  </si>
  <si>
    <t>The control has a persistent label; each option is readable and uniquely understandable; keyboard highlight is visible; the selected value remains obvious when closed and on reopen; the menu stays within the viewport without clipping.</t>
  </si>
  <si>
    <t>Form usability</t>
  </si>
  <si>
    <t>Manual content, keyboard and visual review.</t>
  </si>
  <si>
    <t>@non-functional @regression @a11y @form-usability @manual @ui-components</t>
  </si>
  <si>
    <t>UC-UX-017</t>
  </si>
  <si>
    <t>Designs workspace</t>
  </si>
  <si>
    <t>Present a clear prompt-to-code-to-preview workflow</t>
  </si>
  <si>
    <t>Confirm that users can understand the relationship among prompt, generation, JSON, React, Format, Run and preview areas.</t>
  </si>
  <si>
    <t>1. Valid Information is entered and Designs is open.</t>
  </si>
  <si>
    <t xml:space="preserve">1. Review Designs before entering a prompt.
2. Identify the primary generation action, both editors, formatting action, Run action and preview area.
3. Resize the browser from 1440 x 900 to 1024 x 768.</t>
  </si>
  <si>
    <t>Empty Designs state at 1440 x 900 and 1024 x 768.</t>
  </si>
  <si>
    <t>The workflow order is visually clear; every area has a persistent label and concise guidance; primary and secondary actions are differentiated; editor and preview panels remain aligned and usable at both widths.</t>
  </si>
  <si>
    <t>Information architecture</t>
  </si>
  <si>
    <t>Manual visual review and viewport comparison.</t>
  </si>
  <si>
    <t>Non-Functional, Regression, Responsive</t>
  </si>
  <si>
    <t>@non-functional @regression @responsive @information-architecture @manual @ui-components</t>
  </si>
  <si>
    <t>UC-UX-018</t>
  </si>
  <si>
    <t>Design prompt</t>
  </si>
  <si>
    <t>Keep long design prompts readable and editable</t>
  </si>
  <si>
    <t>Verify that realistic multiline prompts remain manageable before generation.</t>
  </si>
  <si>
    <t>1. Designs is open and generation has not started.</t>
  </si>
  <si>
    <t xml:space="preserve">1. Paste a multiline prompt containing headings, bullets, Unicode and 2,000 characters.
2. Edit text at the beginning, middle and end using keyboard shortcuts.
3. Scroll the prompt while monitoring surrounding controls.</t>
  </si>
  <si>
    <t>A 2,000-character multiline prompt containing Unicode, bullets and sample data.</t>
  </si>
  <si>
    <t>Line breaks and Unicode remain intact; the caret and selection are visible; the field scrolls independently without moving adjacent actions; any length limit and remaining count are stated before blocking input; no content is silently truncated.</t>
  </si>
  <si>
    <t>Editor usability</t>
  </si>
  <si>
    <t>Manual keyboard, clipboard and visual review.</t>
  </si>
  <si>
    <t>@non-functional @regression @a11y @editor-usability @manual @ui-components</t>
  </si>
  <si>
    <t>UC-UX-019</t>
  </si>
  <si>
    <t>Design generation</t>
  </si>
  <si>
    <t>Show generation progress and prevent duplicate requests</t>
  </si>
  <si>
    <t>Verify that slow generation gives immediate feedback and cannot be submitted twice.</t>
  </si>
  <si>
    <t xml:space="preserve">1. A valid design prompt is entered.
2. Network throttling is available.</t>
  </si>
  <si>
    <t xml:space="preserve">1. Enable Slow 3G.
2. Activate Generate JSON and React code twice quickly.
3. Observe the button, prompt, editors and preview until generation completes.</t>
  </si>
  <si>
    <t>Valid timestamped prompt; Slow 3G network profile.</t>
  </si>
  <si>
    <t>A clear busy state begins after the first activation; duplicate activation is disabled or deduplicated; prompt content remains intact; partial output is not misrepresented as complete; JSON and React finish once; completion is visibly indicated and announced.</t>
  </si>
  <si>
    <t>Transaction feedback</t>
  </si>
  <si>
    <t>Throttling, request count, screen recording and announcement review.</t>
  </si>
  <si>
    <t>DEV for controlled throttling; confirm success feedback in UAT.</t>
  </si>
  <si>
    <t>@non-functional @regression @manual @transaction-feedback @ui-components</t>
  </si>
  <si>
    <t>UC-UX-020</t>
  </si>
  <si>
    <t>Recover from generation failure without losing the prompt</t>
  </si>
  <si>
    <t>Confirm that a failed generation retains the draft and provides an actionable retry path.</t>
  </si>
  <si>
    <t xml:space="preserve">1. A valid prompt is entered.
2. The generation request can be failed once in a controlled environment.</t>
  </si>
  <si>
    <t xml:space="preserve">1. Force generation to fail and activate Generate JSON and React code.
2. Review the error, prompt and editor contents.
3. Restore the request and activate Retry.</t>
  </si>
  <si>
    <t>One simulated network or server failure followed by a successful retry.</t>
  </si>
  <si>
    <t>A specific recoverable error appears without internal details; the prompt is preserved; stale or partial code is not presented as current output; Retry is available and succeeds once; no duplicate generated content appears.</t>
  </si>
  <si>
    <t>Request interception, content comparison and visual review.</t>
  </si>
  <si>
    <t>@non-functional @regression @manual @resilience @ui-components</t>
  </si>
  <si>
    <t>UC-UX-021</t>
  </si>
  <si>
    <t>JSON and React editors</t>
  </si>
  <si>
    <t>Keep generated code readable and keyboard accessible</t>
  </si>
  <si>
    <t>Ensure that JSON and React outputs are distinguishable, legible and usable for inspection and copying.</t>
  </si>
  <si>
    <t>1. Generation has produced at least 100 lines of JSON and React output.</t>
  </si>
  <si>
    <t xml:space="preserve">1. Review editor labels, syntax presentation, line wrapping and scroll behavior.
2. Select and copy text near the beginning and end of each editor.
3. Use Home, End, Page Up, Page Down, Tab and Shift+Tab, then move focus out.</t>
  </si>
  <si>
    <t>Generated JSON and React output of at least 100 lines.</t>
  </si>
  <si>
    <t>Editors have persistent unique labels and legible monospace text; caret or selection remains visible; each editor scrolls independently; copied content is complete and unmodified; read-only state is communicated; a documented keyboard path exits each editor without trapping focus.</t>
  </si>
  <si>
    <t>Editor accessibility</t>
  </si>
  <si>
    <t>Manual visual, keyboard and clipboard comparison.</t>
  </si>
  <si>
    <t>@non-functional @regression @a11y @editor-accessibility @manual @ui-components</t>
  </si>
  <si>
    <t>UC-UX-022</t>
  </si>
  <si>
    <t>JSON formatting</t>
  </si>
  <si>
    <t>Make Format behavior clear and non-destructive</t>
  </si>
  <si>
    <t>Verify that Format visibly improves generated JSON without changing its meaning or the React output.</t>
  </si>
  <si>
    <t>1. Valid generated JSON and React output are present.</t>
  </si>
  <si>
    <t xml:space="preserve">1. Capture the JSON semantic value and React output.
2. Activate Format once and compare indentation, ordering and scroll position.
3. Activate Format again and compare both editors.</t>
  </si>
  <si>
    <t>Valid compact or inconsistently indented generated JSON with nested objects and arrays.</t>
  </si>
  <si>
    <t>Format is clearly associated with JSON; one activation produces consistent readable indentation; semantic JSON remains unchanged; a second activation is idempotent; React output is not modified; focus and scroll position remain predictable.</t>
  </si>
  <si>
    <t>Before-and-after screenshots and semantic JSON comparison.</t>
  </si>
  <si>
    <t>@non-functional @regression @editor-usability @manual @ui-components</t>
  </si>
  <si>
    <t>UC-UX-023</t>
  </si>
  <si>
    <t>Live preview state</t>
  </si>
  <si>
    <t>Explain preview loading, failure and retry states</t>
  </si>
  <si>
    <t>Ensure that Run provides clear feedback before, during and after a preview failure.</t>
  </si>
  <si>
    <t xml:space="preserve">1. Valid generated JSON and React output are present.
2. Preview rendering can be delayed and failed in a controlled environment.</t>
  </si>
  <si>
    <t xml:space="preserve">1. Review the preview before the first Run.
2. Delay rendering, activate Run twice and observe progress.
3. Force one render failure, then correct or restore the output and retry.</t>
  </si>
  <si>
    <t>One delayed render and one controlled preview failure followed by success.</t>
  </si>
  <si>
    <t>The initial guidance explains how to render; Run cannot start duplicate renders; loading is visible and announced; failure identifies the preview area without exposing a stack trace; generated code remains available; retry replaces the error with one successful preview.</t>
  </si>
  <si>
    <t>Preview resilience</t>
  </si>
  <si>
    <t>Controlled delay/failure, screen recording and accessibility announcement review.</t>
  </si>
  <si>
    <t>DEV only for controlled failure; confirm normal preview feedback in UAT.</t>
  </si>
  <si>
    <t>@non-functional @regression @a11y @manual @preview-resilience @ui-components</t>
  </si>
  <si>
    <t>UC-UX-024</t>
  </si>
  <si>
    <t>Live preview quality</t>
  </si>
  <si>
    <t>Render all eight component types with usable visual defaults</t>
  </si>
  <si>
    <t>Assess the visual quality of generated previews beyond the automated single-path content check.</t>
  </si>
  <si>
    <t xml:space="preserve">1. Approved prompts exist for every recorded component type.
2. Generation and preview services are available.</t>
  </si>
  <si>
    <t xml:space="preserve">1. Generate and run a representative Table, Form, Card and List.
2. Generate and run a representative Chart, Catalog, Checkout and Suggestion List.
3. Review hierarchy, spacing, sample content, empty areas and interactive affordances for each preview.</t>
  </si>
  <si>
    <t>Eight approved prompts, one for Table, Form, Card, List, Chart, Catalog, Checkout and Suggestion List.</t>
  </si>
  <si>
    <t>Every type renders a recognizable component matching its selected type; text is readable; controls and data do not overlap; sample content has coherent hierarchy and spacing; no preview is blank, clipped or visibly broken.</t>
  </si>
  <si>
    <t>Visual quality</t>
  </si>
  <si>
    <t>Human design review with one screenshot per component type.</t>
  </si>
  <si>
    <t>DEV for iteration; approve final visual behavior in UAT.</t>
  </si>
  <si>
    <t>@non-functional @regression @manual @ui-components @visual-quality</t>
  </si>
  <si>
    <t>UC-UX-025</t>
  </si>
  <si>
    <t>Preview containment</t>
  </si>
  <si>
    <t>Contain preview styles and responsive overflow</t>
  </si>
  <si>
    <t>Verify that generated component styles cannot disrupt the surrounding wizard and remain inspectable at narrow widths.</t>
  </si>
  <si>
    <t>1. A preview containing wide content, long text and common CSS selectors is available.</t>
  </si>
  <si>
    <t xml:space="preserve">1. Run the preview at 1440 x 900, 1024 x 768 and 768 x 1024.
2. Scroll inside the preview and then inside the wizard.
3. Compare wizard typography, colors, buttons and tab layout before and after Run.</t>
  </si>
  <si>
    <t>Wide table or catalog preview with long text and representative styling at three viewports.</t>
  </si>
  <si>
    <t>Preview overflow is contained within its panel; the wizard remains usable without page-level horizontal scrolling; preview CSS does not change the host page, tabs or buttons; focus does not escape unexpectedly; narrow layouts preserve access to Run and preview content.</t>
  </si>
  <si>
    <t>Preview isolation and responsive UX</t>
  </si>
  <si>
    <t>Viewport comparison, manual scrolling and before/after screenshots.</t>
  </si>
  <si>
    <t>@non-functional @regression @responsive @manual @preview-isolation-and-responsive-ux @ui-components</t>
  </si>
  <si>
    <t>UC-UX-026</t>
  </si>
  <si>
    <t>Visibility selection</t>
  </si>
  <si>
    <t>Make employee identity and selected access unambiguous</t>
  </si>
  <si>
    <t>Confirm that users can distinguish, select and remove employees safely, including people with similar names.</t>
  </si>
  <si>
    <t xml:space="preserve">1. The test directory contains two eligible employees with similar names.
2. The wizard is open on Visibility.</t>
  </si>
  <si>
    <t xml:space="preserve">1. Search for both similarly named employees and compare result details.
2. Select both and attempt to select one again.
3. Remove one selected employee using the keyboard.</t>
  </si>
  <si>
    <t>Two approved test employees with similar display names and distinct email addresses.</t>
  </si>
  <si>
    <t>Results expose enough identity information for a safe choice; Owner is visually distinct and cannot be accidentally removed; selected people and count update immediately; duplicate selection is prevented; Remove has an accessible name; all actions work by keyboard.</t>
  </si>
  <si>
    <t>Access usability</t>
  </si>
  <si>
    <t>DEV or UAT using approved directory test users.</t>
  </si>
  <si>
    <t>@non-functional @regression @a11y @access-usability @manual @ui-components</t>
  </si>
  <si>
    <t>UC-UX-027</t>
  </si>
  <si>
    <t>Screen-reader semantics</t>
  </si>
  <si>
    <t>Expose meaningful structure and status announcements</t>
  </si>
  <si>
    <t>Verify that UI Components and its wizard can be understood and operated without sight.</t>
  </si>
  <si>
    <t xml:space="preserve">1. NVDA and Chrome are available.
2. The signed-in user can exercise generation and preview in a test business.</t>
  </si>
  <si>
    <t xml:space="preserve">1. Traverse the module using headings, landmarks and form-control navigation.
2. Open the wizard and navigate tabs, fields, editors, Visibility and action buttons.
3. Trigger validation, generation loading, preview success and a recoverable error.</t>
  </si>
  <si>
    <t>Current NVDA release with Chrome at 100 percent zoom.</t>
  </si>
  <si>
    <t>The page and dialog have meaningful names; tabs expose selected state; labels, required state and errors are announced; code editors are differentiated; generation, preview success and errors are announced once; DOM order matches the visual workflow.</t>
  </si>
  <si>
    <t>NVDA walkthrough and browser accessibility-tree inspection.</t>
  </si>
  <si>
    <t>UC-UX-028</t>
  </si>
  <si>
    <t>Responsive and visual accessibility</t>
  </si>
  <si>
    <t>Preserve reflow, contrast and focus at narrow widths and 200 percent zoom</t>
  </si>
  <si>
    <t>Ensure that cards, wizard panels, editors and preview controls remain perceivable and operable under supported display conditions.</t>
  </si>
  <si>
    <t xml:space="preserve">1. Chrome responsive mode, a contrast analyzer and browser zoom are available.
2. A generated preview is present in the wizard.</t>
  </si>
  <si>
    <t xml:space="preserve">1. Review the list and wizard at 1440 x 900, 1024 x 768, 768 x 1024 and 390 x 844.
2. Review 1280 x 720 at 200 percent browser zoom.
3. Measure text, controls, errors, selected tabs and focus indicators in normal and forced-colors modes.</t>
  </si>
  <si>
    <t>Four viewports, 200 percent zoom, Windows forced-colors and WCAG contrast analyzer.</t>
  </si>
  <si>
    <t>Controls wrap logically without overlap or loss; primary actions and wizard footer remain reachable; page-level two-dimensional scrolling is unnecessary except inside code or preview panels; focused controls are not obscured; text meets 4.5 to 1 and UI boundaries meet 3 to 1; states remain visible in forced colors.</t>
  </si>
  <si>
    <t>Responsive accessibility</t>
  </si>
  <si>
    <t>Responsive mode, zoom, contrast analysis, forced-colors review and screenshots.</t>
  </si>
  <si>
    <t>DEV first; repeat supported breakpoints in UAT before release.</t>
  </si>
  <si>
    <t>@non-functional @regression @a11y @responsive @manual @responsive-accessibility @ui-components</t>
  </si>
  <si>
    <t>UC-UX-029</t>
  </si>
  <si>
    <t>Create and update feedback</t>
  </si>
  <si>
    <t>Communicate save progress, success and recoverable failure</t>
  </si>
  <si>
    <t>Verify that create and update submissions have unambiguous status and cannot produce duplicate or partially saved components.</t>
  </si>
  <si>
    <t xml:space="preserve">1. Unique valid synthetic component data and generated design output are available.
2. Create and update requests can be throttled and failed once in DEV.</t>
  </si>
  <si>
    <t xml:space="preserve">1. Throttle Create, activate it twice quickly and observe successful completion.
2. Edit the created component, throttle Update, activate it twice and observe success.
3. Repeat one update with a controlled failure, restore the request and retry.</t>
  </si>
  <si>
    <t>One unique synthetic component; one slow create, one slow update and one failed-then-successful update.</t>
  </si>
  <si>
    <t>The first activation immediately produces a busy or disabled state; duplicate requests and records are prevented; success feedback identifies the affected component and the dialog closes only after persistence; failure retains all unsaved values, creates no partial state and provides a successful retry path.</t>
  </si>
  <si>
    <t>Network throttling, request count, screen recording and saved-state comparison.</t>
  </si>
  <si>
    <t>DEV for failure injection; confirm successful feedback in UAT. LIVE only with approved synthetic data.</t>
  </si>
  <si>
    <t>UC-UX-030</t>
  </si>
  <si>
    <t>Delete confirmation</t>
  </si>
  <si>
    <t>Prevent accidental deletion and communicate completion</t>
  </si>
  <si>
    <t>Assess confirmation wording, focus, progress and recovery around the destructive Delete action.</t>
  </si>
  <si>
    <t xml:space="preserve">1. A uniquely named disposable synthetic component exists.
2. Delete can be delayed and failed once in a controlled environment.</t>
  </si>
  <si>
    <t xml:space="preserve">1. Open Delete and review the alert dialog, named target, button hierarchy and initial focus.
2. Cancel by keyboard and verify focus returns to the originating card action.
3. Reopen Delete, throttle and confirm twice quickly, then repeat on another disposable component with one controlled failure and retry.</t>
  </si>
  <si>
    <t>Two uniquely named disposable synthetic components; one slow deletion and one failed-then-successful deletion.</t>
  </si>
  <si>
    <t>The dialog clearly names the exact component and consequence; safe Cancel and destructive Delete are visually distinct; focus is contained and restored; confirmation becomes busy and cannot double-submit; success is announced and removes one target; failure preserves the component and offers retry without closing misleadingly.</t>
  </si>
  <si>
    <t>Destructive-action safety</t>
  </si>
  <si>
    <t>Keyboard, focus, throttling, request count and before/after list review.</t>
  </si>
  <si>
    <t>DEV for failure injection; confirm standard confirmation in UAT. LIVE only with explicit approval and disposable synthetic data.</t>
  </si>
  <si>
    <t>@non-functional @regression @a11y @destructive-action-safety @manual @ui-components</t>
  </si>
  <si>
    <t>UC-UX-031</t>
  </si>
  <si>
    <t>UI Components performance budget</t>
  </si>
  <si>
    <t>Verify measurable page, editor and preview performance budgets</t>
  </si>
  <si>
    <t>Establish a repeatable UI performance gate for discovery, wizard navigation, generated-code presentation and preview interaction.</t>
  </si>
  <si>
    <t xml:space="preserve">1. A stable test business contains at least 50 representative UI Components.
2. Chrome DevTools Performance and Lighthouse are available on a workstation with no unrelated foreground workload.
3. A fixed generated JSON and React fixture is available so UI rendering can be measured separately from generation-service latency.</t>
  </si>
  <si>
    <t xml:space="preserve">1. Run ten cold navigations to UI Components with Fast 4G and 4x CPU slowdown, recording LCP, CLS and long tasks.
2. During each run, search, switch layout, open the wizard, change tabs, load the fixed generated-code fixture and activate Run.
3. Record input-to-next-paint for discovery interactions and visible response times for wizard opening, tab changes, editor population and preview rendering.
4. Calculate the 75th percentile for every metric and attach the trace from the slowest passing or first failing run.</t>
  </si>
  <si>
    <t>10 cold runs; Fast 4G; 4x CPU slowdown; 50+ cards; fixed code fixture; budgets: LCP &lt;= 2.5 s, CLS &lt;= 0.10, INP &lt;= 200 ms, wizard/tab &lt;= 500 ms, editor population and preview render &lt;= 1 s</t>
  </si>
  <si>
    <t>At the 75th percentile LCP is at most 2.5 seconds, CLS at most 0.10, and INP at most 200 milliseconds; wizard and tab response is at most 500 milliseconds; fixed editor content and preview become visibly ready within 1 second; no task blocks the main thread for more than 200 milliseconds without feedback; every breach includes a repeatable trace.</t>
  </si>
  <si>
    <t>UI performance</t>
  </si>
  <si>
    <t>Chrome Lighthouse and DevTools Performance profiling across ten controlled runs with percentile calculation.</t>
  </si>
  <si>
    <t>P0</t>
  </si>
  <si>
    <t>DEV baseline / UAT release gate.</t>
  </si>
  <si>
    <t>Non-Functional, Regression, Performance</t>
  </si>
  <si>
    <t>@non-functional @regression @performance @manual @ui-components @ui-performance</t>
  </si>
  <si>
    <t>UC-UX-032</t>
  </si>
  <si>
    <t>UI Components visual regression baseline</t>
  </si>
  <si>
    <t>Review deterministic screenshots against the approved baseline</t>
  </si>
  <si>
    <t>Detect unintended changes to list layouts, wizard panels, editors, preview, messages and destructive confirmation before release.</t>
  </si>
  <si>
    <t xml:space="preserve">1. An approved versioned screenshot baseline exists for the current design system and browser build.
2. Fixed component data, locale, fonts, generated code and preview fixture are available.
3. Animations are disabled and timestamps, avatars and approved dynamic preview regions can be masked.</t>
  </si>
  <si>
    <t xml:space="preserve">1. Capture grid and list layouts plus loading, no-results, empty and recoverable error states.
2. Capture Information with validation, Designs before and after generation, formatted editors, preview success and preview failure.
3. Capture Visibility with representative selection, the card action menu, delete confirmation and the 1024 x 768 wizard state.
4. Compare every image with the approved baseline, inspect all changed pixels and classify each difference as expected, defect or approved baseline update.</t>
  </si>
  <si>
    <t>Chrome stable; fixed seeded data and code fixture; en-IN; 1440 x 900 plus 1024 x 768; pixel-difference threshold &lt;= 0.5% after approved masks.</t>
  </si>
  <si>
    <t>Every required state has a named screenshot; unexplained pixel difference is no more than 0.5 percent after approved masks; clipping, overlap, missing focus, incorrect typography, color, spacing, icon, editor or preview boundary has zero tolerance; intentional changes have design approval and a traceable baseline version rather than being autoaccepted.</t>
  </si>
  <si>
    <t>Visual regression</t>
  </si>
  <si>
    <t>Deterministic screenshot comparison followed by human review of every diff and design sign-off.</t>
  </si>
  <si>
    <t>UAT release candidate with DEV baseline maintenance.</t>
  </si>
  <si>
    <t>Non-Functional, Regression, Visual Regression</t>
  </si>
  <si>
    <t>@non-functional @regression @visual-regression @manual @ui-components</t>
  </si>
  <si>
    <t>UC-UX-033</t>
  </si>
  <si>
    <t>UI Components localization and text expansion</t>
  </si>
  <si>
    <t>Verify international text, expansion, locale formats and RTL reflow</t>
  </si>
  <si>
    <t>Ensure the discovery page and creation workflow remain understandable when interface text expands, direction changes and authored content is multilingual.</t>
  </si>
  <si>
    <t xml:space="preserve">1. An approved pseudo-localization or translation test harness is available.
2. Test locales include en-IN, a 40% expanded pseudo-locale, de-DE and ar-SA RTL.
3. Synthetic multilingual names, descriptions, prompts and preview data are approved.</t>
  </si>
  <si>
    <t xml:space="preserve">1. Review cards, search, actions, wizard tabs, validation, generation feedback, editors, preview, Visibility and confirmation in en-IN and the 40% expanded pseudo-locale.
2. Repeat the workflow with de-DE and ar-SA RTL using keyboard and screen reader for representative controls.
3. Enter Latin accents, Devanagari, Arabic, CJK and emoji in permitted fields and generate a preview containing the same sample content.
4. Verify dates, times, counts, punctuation, truncation, reading order, mirrored directional icons and fallback behavior for untranslated keys.</t>
  </si>
  <si>
    <t>Locales: en-IN, pseudo +40%, de-DE, ar-SA RTL; content: Café, घटक, مكوّن, コンポーネント, 🧩; fixed date/time and counts.</t>
  </si>
  <si>
    <t>Translated and expanded labels fit without overlap, clipping or hidden actions; RTL layout and directional controls mirror while JSON, React and URLs retain correct code direction; locale formats are correct; multilingual authored and preview content remains intact; focus and screen-reader order match visual order; no raw translation key or unintended English fallback appears.</t>
  </si>
  <si>
    <t>Localization and internationalization</t>
  </si>
  <si>
    <t>Pseudo-localization, locale switching, RTL visual review, keyboard review and representative screen-reader checks.</t>
  </si>
  <si>
    <t>DEV localization harness / UAT translated build.</t>
  </si>
  <si>
    <t>Non-Functional, Regression, Accessibility, Responsive, Localization</t>
  </si>
  <si>
    <t>@non-functional @regression @a11y @responsive @localization @localization-and-internationalization @manual @ui-components</t>
  </si>
  <si>
    <t>UC-UX-034</t>
  </si>
  <si>
    <t>UI Components exploratory UAT charter</t>
  </si>
  <si>
    <t>Explore a component designer's end-to-end authoring journey</t>
  </si>
  <si>
    <t>Discover usability, trust, recovery and design-workflow risks that scripted cases may miss before business acceptance.</t>
  </si>
  <si>
    <t xml:space="preserve">1. A UAT business contains realistic non-sensitive components and approved creator plus restricted-viewer accounts.
2. A disposable synthetic component naming convention and cleanup owner are agreed.
3. The session is time-boxed to 60 minutes and screen capture plus note-taking are enabled.</t>
  </si>
  <si>
    <t xml:space="preserve">1. Spend 10 minutes learning discovery without guidance: search, compare layouts, refresh, inspect cards and interpret available actions.
2. Spend 20 minutes authoring one realistic component: choose a type, refine a multilingual prompt, generate, format, inspect code, run preview and configure Visibility.
3. Spend 15 minutes introducing interruptions: change type after generation, revisit prior tabs, refresh, browser Back and Forward, lose network, open two tabs and recover from preview or validation failure.
4. Spend 10 minutes switching to the restricted viewer and explore clarity of unavailable, view-only or permission-limited actions without attempting escalation.
5. Use the final 5 minutes to delete or assign cleanup of the disposable component and record findings with severity, evidence, reproduction steps and recommended follow-up.</t>
  </si>
  <si>
    <t>60-minute UAT charter; creator and restricted viewer; one disposable UI Component; Chrome; desktop and tablet viewport; approved synthetic prompt and preview data.</t>
  </si>
  <si>
    <t>The charter covers discovery, authoring, generation, code inspection, preview, Visibility, interruptions, recovery and role clarity; every observation is recorded as positive evidence, question or defect with timestamp and screenshot or video; defects have reproducible steps and severity; synthetic data is cleaned up or assigned to an owner; no unresolved Critical issue remains for acceptance.</t>
  </si>
  <si>
    <t>Exploratory UAT</t>
  </si>
  <si>
    <t>Time-boxed session-based exploratory testing with charter notes, screen recording, defect triage and stakeholder debrief.</t>
  </si>
  <si>
    <t>UAT only.</t>
  </si>
  <si>
    <t>Non-Functional, Regression, Exploratory, UAT</t>
  </si>
  <si>
    <t>@non-functional @regression @exploratory @uat @exploratory-uat @manual @ui-components</t>
  </si>
  <si>
    <t>UI Components Coverage Summary</t>
  </si>
  <si>
    <t>Automated functionality and manual UI/UX review are tracked separately.</t>
  </si>
  <si>
    <t>Section</t>
  </si>
  <si>
    <t>Metric</t>
  </si>
  <si>
    <t>Count</t>
  </si>
  <si>
    <t>Meaning</t>
  </si>
  <si>
    <t>Overview</t>
  </si>
  <si>
    <t>Automated cases</t>
  </si>
  <si>
    <t>Current Playwright-covered behaviors.</t>
  </si>
  <si>
    <t>Manual UI/UX cases</t>
  </si>
  <si>
    <t>Human-observation and assistive-tool checks.</t>
  </si>
  <si>
    <t>Total documented cases</t>
  </si>
  <si>
    <t>Complete module test design in this workbook.</t>
  </si>
  <si>
    <t>Safety</t>
  </si>
  <si>
    <t>Automated write operations</t>
  </si>
  <si>
    <t>Automated cases that persist synthetic data.</t>
  </si>
  <si>
    <t>Manual cases awaiting execution.</t>
  </si>
  <si>
    <t>Pass</t>
  </si>
  <si>
    <t>Manual cases completed successfully.</t>
  </si>
  <si>
    <t>Fail</t>
  </si>
  <si>
    <t>Manual cases with observed defects.</t>
  </si>
  <si>
    <t>Priority coverage for P0.</t>
  </si>
  <si>
    <t>Priority coverage for P1.</t>
  </si>
  <si>
    <t>Priority coverage for P2.</t>
  </si>
  <si>
    <t>Severity coverage for Critical.</t>
  </si>
  <si>
    <t>Severity coverage for Major.</t>
  </si>
  <si>
    <t>Severity coverage for Minor.</t>
  </si>
  <si>
    <t>Test suite</t>
  </si>
  <si>
    <t>30 automated and 0 manual case(s) carry @functional.</t>
  </si>
  <si>
    <t>Non-Functional</t>
  </si>
  <si>
    <t>7 automated and 34 manual case(s) carry @non-functional.</t>
  </si>
  <si>
    <t>Smoke</t>
  </si>
  <si>
    <t>1 automated and 0 manual case(s) carry @smoke.</t>
  </si>
  <si>
    <t>Production Smoke</t>
  </si>
  <si>
    <t>1 automated and 0 manual case(s) carry @prod-smoke.</t>
  </si>
  <si>
    <t>Sanity</t>
  </si>
  <si>
    <t>5 automated and 0 manual case(s) carry @sanity.</t>
  </si>
  <si>
    <t>Regression</t>
  </si>
  <si>
    <t>30 automated and 34 manual case(s) carry @regression.</t>
  </si>
  <si>
    <t>End-to-End</t>
  </si>
  <si>
    <t>8 automated and 0 manual case(s) carry @e2e.</t>
  </si>
  <si>
    <t>Integration</t>
  </si>
  <si>
    <t>5 automated and 0 manual case(s) carry @integration.</t>
  </si>
  <si>
    <t>6 automated and 0 manual case(s) carry @security.</t>
  </si>
  <si>
    <t>1 automated and 18 manual case(s) carry @a11y.</t>
  </si>
  <si>
    <t>Responsive</t>
  </si>
  <si>
    <t>0 automated and 5 manual case(s) carry @responsive.</t>
  </si>
  <si>
    <t>Visual Regression</t>
  </si>
  <si>
    <t>0 automated and 1 manual case(s) carry @visual-regression.</t>
  </si>
  <si>
    <t>Performance</t>
  </si>
  <si>
    <t>0 automated and 1 manual case(s) carry @performance.</t>
  </si>
  <si>
    <t>Localization</t>
  </si>
  <si>
    <t>0 automated and 1 manual case(s) carry @localization.</t>
  </si>
  <si>
    <t>Exploratory</t>
  </si>
  <si>
    <t>0 automated and 1 manual case(s) carry @exploratory.</t>
  </si>
  <si>
    <t>UAT</t>
  </si>
  <si>
    <t>5 automated and 1 manual case(s) carry @uat.</t>
  </si>
  <si>
    <t>Assigned only when a specific failed case is rerun after a defect fix; intentionally zero at design time.</t>
  </si>
  <si>
    <t>Manual category</t>
  </si>
  <si>
    <t>Manual Access usability review coverage.</t>
  </si>
  <si>
    <t>Manual Accessibility review coverage.</t>
  </si>
  <si>
    <t>Manual Content resilience review coverage.</t>
  </si>
  <si>
    <t>Manual Data-loss prevention review coverage.</t>
  </si>
  <si>
    <t>Manual Destructive-action safety review coverage.</t>
  </si>
  <si>
    <t>Manual Editor accessibility review coverage.</t>
  </si>
  <si>
    <t>Manual Editor usability review coverage.</t>
  </si>
  <si>
    <t>Manual Empty-state UX review coverage.</t>
  </si>
  <si>
    <t>Manual Exploratory UAT review coverage.</t>
  </si>
  <si>
    <t>Manual Feedback review coverage.</t>
  </si>
  <si>
    <t>Manual Form usability review coverage.</t>
  </si>
  <si>
    <t>Manual Information architecture review coverage.</t>
  </si>
  <si>
    <t>Manual Interaction feedback review coverage.</t>
  </si>
  <si>
    <t>Manual Localization and internationalization review coverage.</t>
  </si>
  <si>
    <t>Manual Preview isolation and responsive UX review coverage.</t>
  </si>
  <si>
    <t>Manual Preview resilience review coverage.</t>
  </si>
  <si>
    <t>Manual Resilience review coverage.</t>
  </si>
  <si>
    <t>Manual Responsive accessibility review coverage.</t>
  </si>
  <si>
    <t>Manual Search UX review coverage.</t>
  </si>
  <si>
    <t>Manual Transaction feedback review coverage.</t>
  </si>
  <si>
    <t>Manual UI performance review coverage.</t>
  </si>
  <si>
    <t>Manual Usability review coverage.</t>
  </si>
  <si>
    <t>Manual Usability and accessibility review coverage.</t>
  </si>
  <si>
    <t>Manual Validation and accessibility review coverage.</t>
  </si>
  <si>
    <t>Manual Validation UX review coverage.</t>
  </si>
  <si>
    <t>Manual Visual quality review coverage.</t>
  </si>
  <si>
    <t>Manual Visual regression review coverage.</t>
  </si>
  <si>
    <t>Manual Wizard usability review coverage.</t>
  </si>
  <si>
    <t>Field</t>
  </si>
  <si>
    <t>Sheet</t>
  </si>
  <si>
    <t>Editable During Execution</t>
  </si>
  <si>
    <t>Required</t>
  </si>
  <si>
    <t>Description</t>
  </si>
  <si>
    <t>Example</t>
  </si>
  <si>
    <t>No</t>
  </si>
  <si>
    <t>Yes</t>
  </si>
  <si>
    <t>Unique UI Components case reference used in evidence and defects.</t>
  </si>
  <si>
    <t>UC-001 / UC-UX-001</t>
  </si>
  <si>
    <t>Page section or user journey covered by the case.</t>
  </si>
  <si>
    <t>UI Components navigation</t>
  </si>
  <si>
    <t>Why the case exists and what risk it addresses.</t>
  </si>
  <si>
    <t>Verify the interface remains understandable at 200% zoom.</t>
  </si>
  <si>
    <t>Required account, data or page state before execution.</t>
  </si>
  <si>
    <t>A valid authenticated session is available.</t>
  </si>
  <si>
    <t>Numbered actions written for a human reader.</t>
  </si>
  <si>
    <t xml:space="preserve">1. Open the module.
2. Use keyboard navigation.</t>
  </si>
  <si>
    <t>Readable rendering of the existing Excel-driven test data.</t>
  </si>
  <si>
    <t>Maximum length: 100</t>
  </si>
  <si>
    <t>Manual UI UX Cases</t>
  </si>
  <si>
    <t>Browser, viewport, zoom, assistive technology or content variant.</t>
  </si>
  <si>
    <t>Chrome, 1280×720, 200% zoom</t>
  </si>
  <si>
    <t>Observable outcome used to decide Pass or Fail.</t>
  </si>
  <si>
    <t>All controls remain visible and operable without overlap.</t>
  </si>
  <si>
    <t>Category / UX Category</t>
  </si>
  <si>
    <t>Functional grouping for automation or review discipline for manual UI/UX.</t>
  </si>
  <si>
    <t>How the UI/UX case should be evaluated.</t>
  </si>
  <si>
    <t>Keyboard-only and screen-reader review</t>
  </si>
  <si>
    <t>Execution/business priority from P0 (highest) through P3.</t>
  </si>
  <si>
    <t>Expected impact if the behavior fails.</t>
  </si>
  <si>
    <t>Confirms the case is implemented in Playwright.</t>
  </si>
  <si>
    <t>YES means the automation creates, updates, uploads or deletes synthetic data.</t>
  </si>
  <si>
    <t>Registry-derived reusable suite membership. Retest is defect-specific and is not assigned statically.</t>
  </si>
  <si>
    <t>Functional, Smoke, Regression</t>
  </si>
  <si>
    <t>Automated tags are synchronized to Playwright titles. Manual tags support test-management filtering and include @manual, module and UX-category tags.</t>
  </si>
  <si>
    <t>@non-functional @regression @manual @ui-components @accessibility</t>
  </si>
  <si>
    <t>Searchable catalog labels retained from the code-first case definitions; use Execution Tags for supported Playwright suite filters.</t>
  </si>
  <si>
    <t>flow, validation, tools</t>
  </si>
  <si>
    <t>Execution outcome selected from the dropdown.</t>
  </si>
  <si>
    <t>Not Run / Pass / Fail / Blocked</t>
  </si>
  <si>
    <t>When executed</t>
  </si>
  <si>
    <t>What was actually observed, including concise evidence references.</t>
  </si>
  <si>
    <t>Focus moved behind the modal.</t>
  </si>
  <si>
    <t>Executed By / On</t>
  </si>
  <si>
    <t>Executor name and execution date.</t>
  </si>
  <si>
    <t>QA User / 2026-09-21</t>
  </si>
  <si>
    <t>On failure</t>
  </si>
  <si>
    <t>Linked defect or issue identifier.</t>
  </si>
  <si>
    <t>BUG-1234</t>
  </si>
  <si>
    <t>Additional context, browser version or evidence location.</t>
  </si>
  <si>
    <t>Reproduced in Chrome and Firefox.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</si>
</sst>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8"/>
    </font>
    <font>
      <i/>
      <color rgb="FF1F4E78"/>
      <sz val="11"/>
    </font>
    <font>
      <b/>
      <color rgb="FFFFFFFF"/>
      <sz val="10"/>
    </font>
    <font>
      <b/>
      <color rgb="FF17365D"/>
    </font>
    <font>
      <sz val="10"/>
    </font>
    <font>
      <sz val="9"/>
      <name val="Aptos"/>
    </font>
    <font>
      <b/>
    </font>
    <font>
      <b/>
      <color rgb="FF9C5700"/>
    </font>
    <font>
      <b/>
      <color rgb="FFFFFFFF"/>
      <sz val="17"/>
    </font>
    <font>
      <i/>
      <color rgb="FF1F4E78"/>
    </font>
    <font>
      <b/>
      <color rgb="FF548235"/>
    </font>
  </fonts>
  <fills count="9">
    <fill>
      <patternFill patternType="none"/>
    </fill>
    <fill>
      <patternFill patternType="gray125"/>
    </fill>
    <fill>
      <patternFill patternType="solid">
        <fgColor rgb="FF7030A0"/>
      </patternFill>
    </fill>
    <fill>
      <patternFill patternType="solid">
        <fgColor rgb="FFFCE4D6"/>
      </patternFill>
    </fill>
    <fill>
      <patternFill patternType="solid">
        <fgColor rgb="FFC65911"/>
      </patternFill>
    </fill>
    <fill>
      <patternFill patternType="solid">
        <fgColor rgb="FFFFF2CC"/>
      </patternFill>
    </fill>
    <fill>
      <patternFill patternType="solid">
        <fgColor rgb="FFF4CCCC"/>
      </patternFill>
    </fill>
    <fill>
      <patternFill patternType="solid">
        <fgColor rgb="FF548235"/>
      </patternFill>
    </fill>
    <fill>
      <patternFill patternType="solid">
        <fgColor rgb="FF0F6B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25">
    <xf numFmtId="0" fontId="0" fillId="0" borderId="0" xfId="0"/>
    <xf numFmtId="0" fontId="1" fillId="2" borderId="0" xfId="0" applyFont="1" applyFill="1" applyAlignment="1">
      <alignment horizontal="left" vertical="center"/>
    </xf>
    <xf numFmtId="0" fontId="2" fillId="0" borderId="0" xfId="0" applyFont="1" applyAlignment="1">
      <alignment vertical="center"/>
    </xf>
    <xf numFmtId="0" fontId="3" fillId="2" borderId="0" xfId="0" applyFont="1" applyFill="1" applyAlignment="1">
      <alignment horizontal="center" vertical="center" wrapText="1"/>
    </xf>
    <xf numFmtId="0" fontId="0" fillId="0" borderId="0" xfId="0" applyAlignment="1">
      <alignment vertical="top" wrapText="1"/>
    </xf>
    <xf numFmtId="0" fontId="4" fillId="0" borderId="1" xfId="0" applyFont="1" applyBorder="1" applyAlignment="1">
      <alignment vertical="top" wrapText="1"/>
    </xf>
    <xf numFmtId="0" fontId="0" fillId="0" borderId="1" xfId="0" applyBorder="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7" fillId="3" borderId="0" xfId="0" applyFont="1" applyFill="1" applyAlignment="1">
      <alignment vertical="top" wrapText="1"/>
    </xf>
    <xf numFmtId="0" fontId="5" fillId="3" borderId="0" xfId="0" applyFont="1" applyFill="1" applyAlignment="1">
      <alignment vertical="top" wrapText="1"/>
    </xf>
    <xf numFmtId="0" fontId="8" fillId="3" borderId="0" xfId="0" applyFont="1" applyFill="1" applyAlignment="1">
      <alignment vertical="top" wrapText="1"/>
    </xf>
    <xf numFmtId="0" fontId="3" fillId="4" borderId="0" xfId="0" applyFont="1" applyFill="1" applyAlignment="1">
      <alignment horizontal="center" vertical="center" wrapText="1"/>
    </xf>
    <xf numFmtId="0" fontId="7" fillId="5" borderId="0" xfId="0" applyFont="1" applyFill="1" applyAlignment="1">
      <alignment vertical="top" wrapText="1"/>
    </xf>
    <xf numFmtId="0" fontId="5" fillId="5" borderId="0" xfId="0" applyFont="1" applyFill="1" applyAlignment="1">
      <alignment vertical="top" wrapText="1"/>
    </xf>
    <xf numFmtId="0" fontId="7" fillId="6" borderId="0" xfId="0" applyFont="1" applyFill="1" applyAlignment="1">
      <alignment vertical="top" wrapText="1"/>
    </xf>
    <xf numFmtId="0" fontId="9" fillId="7" borderId="0" xfId="0" applyFont="1" applyFill="1" applyAlignment="1">
      <alignment horizontal="left" vertical="center"/>
    </xf>
    <xf numFmtId="0" fontId="10" fillId="0" borderId="0" xfId="0" applyFont="1"/>
    <xf numFmtId="0" fontId="3" fillId="7" borderId="0" xfId="0" applyFont="1" applyFill="1" applyAlignment="1">
      <alignment horizontal="center" vertical="center" wrapText="1"/>
    </xf>
    <xf numFmtId="0" fontId="0" fillId="0" borderId="0" xfId="0" applyAlignment="1">
      <alignment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11" fillId="0" borderId="1" xfId="0" applyFont="1" applyBorder="1" applyAlignment="1">
      <alignment horizontal="center"/>
    </xf>
    <xf numFmtId="0" fontId="3" fillId="8"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UI ComponentsAutomatedCases" displayName="UI ComponentsAutomatedCases" ref="A1:V31" totalsRowShown="1" headerRowCount="1">
  <autoFilter ref="A1:V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Inputs" totalsRowFunction="none"/>
    <tableColumn id="10" name="Expected Result" totalsRowFunction="none"/>
    <tableColumn id="11" name="Category" totalsRowFunction="none"/>
    <tableColumn id="12" name="Scenario Type" totalsRowFunction="none"/>
    <tableColumn id="13" name="Priority" totalsRowFunction="none"/>
    <tableColumn id="14" name="Severity" totalsRowFunction="none"/>
    <tableColumn id="15" name="Automation Status" totalsRowFunction="none"/>
    <tableColumn id="16" name="Write Operation" totalsRowFunction="none"/>
    <tableColumn id="17" name="Environment" totalsRowFunction="none"/>
    <tableColumn id="18" name="Test Suites" totalsRowFunction="none"/>
    <tableColumn id="19" name="Execution Tags" totalsRowFunction="none"/>
    <tableColumn id="20" name="Tags" totalsRowFunction="none"/>
    <tableColumn id="21" name="Source" totalsRowFunction="none"/>
    <tableColumn id="22" name="Notes" totalsRowFunction="n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name="UI ComponentsManualUiUxCases" displayName="UI ComponentsManualUiUxCases" ref="A1:W35" totalsRowShown="1" headerRowCount="1">
  <autoFilter ref="A1:W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name="Sequence" totalsRowLabel="Total"/>
    <tableColumn id="2" name="Test Case ID" totalsRowFunction="none"/>
    <tableColumn id="3" name="Module" totalsRowFunction="none"/>
    <tableColumn id="4" name="Feature / Area" totalsRowFunction="none"/>
    <tableColumn id="5" name="Test Case Title" totalsRowFunction="none"/>
    <tableColumn id="6" name="Objective" totalsRowFunction="none"/>
    <tableColumn id="7" name="Preconditions" totalsRowFunction="none"/>
    <tableColumn id="8" name="Test Steps" totalsRowFunction="none"/>
    <tableColumn id="9" name="Test Data / Viewport" totalsRowFunction="none"/>
    <tableColumn id="10" name="Expected Result" totalsRowFunction="none"/>
    <tableColumn id="11" name="UX Category" totalsRowFunction="none"/>
    <tableColumn id="12" name="Review Method" totalsRowFunction="none"/>
    <tableColumn id="13" name="Priority" totalsRowFunction="none"/>
    <tableColumn id="14" name="Severity" totalsRowFunction="none"/>
    <tableColumn id="15" name="Recommended Environment" totalsRowFunction="none"/>
    <tableColumn id="16" name="Test Suites" totalsRowFunction="none"/>
    <tableColumn id="17" name="Execution Tags" totalsRowFunction="none"/>
    <tableColumn id="18" name="Status" totalsRowFunction="none"/>
    <tableColumn id="19" name="Actual Result" totalsRowFunction="none"/>
    <tableColumn id="20" name="Executed By" totalsRowFunction="none"/>
    <tableColumn id="21" name="Executed On" totalsRowFunction="none"/>
    <tableColumn id="22" name="Defect ID" totalsRowFunction="none"/>
    <tableColumn id="23" name="Remarks" totalsRowFunction="no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name="UI ComponentsUiUxFieldReference" displayName="UI ComponentsUiUxFieldReference" ref="A1:F23" totalsRowShown="1" headerRowCount="1">
  <autoFilter ref="A1:F23">
    <filterColumn colId="0" hiddenButton="1"/>
    <filterColumn colId="1" hiddenButton="1"/>
    <filterColumn colId="2" hiddenButton="1"/>
    <filterColumn colId="3" hiddenButton="1"/>
    <filterColumn colId="4" hiddenButton="1"/>
    <filterColumn colId="5" hiddenButton="1"/>
  </autoFilter>
  <tableColumns count="6">
    <tableColumn id="1" name="Field" totalsRowLabel="Total"/>
    <tableColumn id="2" name="Sheet" totalsRowFunction="none"/>
    <tableColumn id="3" name="Editable During Execution" totalsRowFunction="none"/>
    <tableColumn id="4" name="Required" totalsRowFunction="none"/>
    <tableColumn id="5" name="Description" totalsRowFunction="none"/>
    <tableColumn id="6" name="Example" totalsRowFunction="none"/>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C25"/>
  <sheetViews>
    <sheetView workbookViewId="0" showGridLines="0">
      <pane ySplit="4" topLeftCell="A5" activePane="bottomLeft" state="frozen"/>
      <selection pane="bottomLeft"/>
    </sheetView>
  </sheetViews>
  <sheetFormatPr defaultRowHeight="15" outlineLevelRow="0" outlineLevelCol="0" x14ac:dyDescent="55"/>
  <cols>
    <col min="1" max="1" width="28" customWidth="1"/>
    <col min="2" max="2" width="108" customWidth="1"/>
    <col min="3" max="3" width="25" customWidth="1"/>
  </cols>
  <sheetData>
    <row r="1" ht="34" customHeight="1" spans="1:3" x14ac:dyDescent="0.25">
      <c r="A1" s="1" t="s">
        <v>0</v>
      </c>
      <c r="B1" s="1"/>
      <c r="C1" s="1"/>
    </row>
    <row r="2" ht="24" customHeight="1" spans="1:3" x14ac:dyDescent="0.25">
      <c r="A2" s="2" t="s">
        <v>1</v>
      </c>
      <c r="B2" s="2"/>
      <c r="C2" s="2"/>
    </row>
    <row r="3" spans="1:3" x14ac:dyDescent="0.25"/>
    <row r="4" ht="30" customHeight="1" spans="1:3" s="3" customFormat="1" x14ac:dyDescent="0.25">
      <c r="A4" s="3" t="s">
        <v>2</v>
      </c>
      <c r="B4" s="3" t="s">
        <v>3</v>
      </c>
      <c r="C4" s="3" t="s">
        <v>4</v>
      </c>
    </row>
    <row r="5" ht="36" customHeight="1" spans="1:3" s="4" customFormat="1" x14ac:dyDescent="0.25">
      <c r="A5" s="5" t="s">
        <v>5</v>
      </c>
      <c r="B5" s="6" t="s">
        <v>6</v>
      </c>
      <c r="C5" s="6" t="s">
        <v>7</v>
      </c>
    </row>
    <row r="6" ht="36" customHeight="1" spans="1:3" s="4" customFormat="1" x14ac:dyDescent="0.25">
      <c r="A6" s="5" t="s">
        <v>8</v>
      </c>
      <c r="B6" s="6" t="s">
        <v>9</v>
      </c>
      <c r="C6" s="6" t="s">
        <v>10</v>
      </c>
    </row>
    <row r="7" ht="36" customHeight="1" spans="1:3" s="4" customFormat="1" x14ac:dyDescent="0.25">
      <c r="A7" s="5" t="s">
        <v>11</v>
      </c>
      <c r="B7" s="6" t="s">
        <v>12</v>
      </c>
      <c r="C7" s="6" t="s">
        <v>13</v>
      </c>
    </row>
    <row r="8" ht="36" customHeight="1" spans="1:3" s="4" customFormat="1" x14ac:dyDescent="0.25">
      <c r="A8" s="5" t="s">
        <v>14</v>
      </c>
      <c r="B8" s="6" t="s">
        <v>15</v>
      </c>
      <c r="C8" s="6" t="s">
        <v>14</v>
      </c>
    </row>
    <row r="9" ht="36" customHeight="1" spans="1:3" s="4" customFormat="1" x14ac:dyDescent="0.25">
      <c r="A9" s="5" t="s">
        <v>16</v>
      </c>
      <c r="B9" s="6" t="s">
        <v>17</v>
      </c>
      <c r="C9" s="6" t="s">
        <v>16</v>
      </c>
    </row>
    <row r="10" ht="36" customHeight="1" spans="1:3" s="4" customFormat="1" x14ac:dyDescent="0.25">
      <c r="A10" s="5" t="s">
        <v>18</v>
      </c>
      <c r="B10" s="6" t="s">
        <v>19</v>
      </c>
      <c r="C10" s="6" t="s">
        <v>13</v>
      </c>
    </row>
    <row r="11" ht="36" customHeight="1" spans="1:3" s="4" customFormat="1" x14ac:dyDescent="0.25">
      <c r="A11" s="5" t="s">
        <v>20</v>
      </c>
      <c r="B11" s="6" t="s">
        <v>21</v>
      </c>
      <c r="C11" s="6" t="s">
        <v>16</v>
      </c>
    </row>
    <row r="12" ht="36" customHeight="1" spans="1:3" s="4" customFormat="1" x14ac:dyDescent="0.25">
      <c r="A12" s="5" t="s">
        <v>22</v>
      </c>
      <c r="B12" s="6" t="s">
        <v>23</v>
      </c>
      <c r="C12" s="6" t="s">
        <v>16</v>
      </c>
    </row>
    <row r="13" ht="36" customHeight="1" spans="1:3" s="4" customFormat="1" x14ac:dyDescent="0.25">
      <c r="A13" s="5" t="s">
        <v>24</v>
      </c>
      <c r="B13" s="6" t="s">
        <v>25</v>
      </c>
      <c r="C13" s="6" t="s">
        <v>26</v>
      </c>
    </row>
    <row r="14" ht="36" customHeight="1" spans="1:3" s="4" customFormat="1" x14ac:dyDescent="0.25">
      <c r="A14" s="5" t="s">
        <v>27</v>
      </c>
      <c r="B14" s="6" t="s">
        <v>28</v>
      </c>
      <c r="C14" s="6" t="s">
        <v>29</v>
      </c>
    </row>
    <row r="15" ht="36" customHeight="1" spans="1:3" s="4" customFormat="1" x14ac:dyDescent="0.25">
      <c r="A15" s="5" t="s">
        <v>30</v>
      </c>
      <c r="B15" s="6" t="s">
        <v>31</v>
      </c>
      <c r="C15" s="6" t="s">
        <v>29</v>
      </c>
    </row>
    <row r="16" ht="36" customHeight="1" spans="1:3" s="4" customFormat="1" x14ac:dyDescent="0.25">
      <c r="A16" s="5" t="s">
        <v>32</v>
      </c>
      <c r="B16" s="6" t="s">
        <v>33</v>
      </c>
      <c r="C16" s="6" t="s">
        <v>14</v>
      </c>
    </row>
    <row r="17" ht="36" customHeight="1" spans="1:3" s="4" customFormat="1" x14ac:dyDescent="0.25">
      <c r="A17" s="5" t="s">
        <v>34</v>
      </c>
      <c r="B17" s="6" t="s">
        <v>35</v>
      </c>
      <c r="C17" s="6" t="s">
        <v>14</v>
      </c>
    </row>
    <row r="18" ht="36" customHeight="1" spans="1:3" s="4" customFormat="1" x14ac:dyDescent="0.25">
      <c r="A18" s="5" t="s">
        <v>36</v>
      </c>
      <c r="B18" s="6" t="s">
        <v>37</v>
      </c>
      <c r="C18" s="6" t="s">
        <v>16</v>
      </c>
    </row>
    <row r="19" ht="36" customHeight="1" spans="1:3" s="4" customFormat="1" x14ac:dyDescent="0.25">
      <c r="A19" s="5" t="s">
        <v>38</v>
      </c>
      <c r="B19" s="6" t="s">
        <v>39</v>
      </c>
      <c r="C19" s="6" t="s">
        <v>40</v>
      </c>
    </row>
    <row r="20" ht="36" customHeight="1" spans="1:3" s="4" customFormat="1" x14ac:dyDescent="0.25">
      <c r="A20" s="5" t="s">
        <v>41</v>
      </c>
      <c r="B20" s="6" t="s">
        <v>42</v>
      </c>
      <c r="C20" s="6" t="s">
        <v>43</v>
      </c>
    </row>
    <row r="21" ht="36" customHeight="1" spans="1:3" s="4" customFormat="1" x14ac:dyDescent="0.25">
      <c r="A21" s="5" t="s">
        <v>44</v>
      </c>
      <c r="B21" s="6" t="s">
        <v>45</v>
      </c>
      <c r="C21" s="6" t="s">
        <v>46</v>
      </c>
    </row>
    <row r="22" ht="36" customHeight="1" spans="1:3" s="4" customFormat="1" x14ac:dyDescent="0.25">
      <c r="A22" s="5" t="s">
        <v>47</v>
      </c>
      <c r="B22" s="6" t="s">
        <v>48</v>
      </c>
      <c r="C22" s="6" t="s">
        <v>49</v>
      </c>
    </row>
    <row r="23" ht="36" customHeight="1" spans="1:3" s="4" customFormat="1" x14ac:dyDescent="0.25">
      <c r="A23" s="5" t="s">
        <v>50</v>
      </c>
      <c r="B23" s="6" t="s">
        <v>51</v>
      </c>
      <c r="C23" s="6" t="s">
        <v>52</v>
      </c>
    </row>
    <row r="24" ht="36" customHeight="1" spans="1:3" s="4" customFormat="1" x14ac:dyDescent="0.25">
      <c r="A24" s="5" t="s">
        <v>53</v>
      </c>
      <c r="B24" s="6" t="s">
        <v>54</v>
      </c>
      <c r="C24" s="6" t="s">
        <v>55</v>
      </c>
    </row>
    <row r="25" ht="36" customHeight="1" spans="1:3" s="4" customFormat="1" x14ac:dyDescent="0.25">
      <c r="A25" s="5" t="s">
        <v>56</v>
      </c>
      <c r="B25" s="6" t="s">
        <v>57</v>
      </c>
      <c r="C25" s="6" t="s">
        <v>58</v>
      </c>
    </row>
  </sheetData>
  <autoFilter ref="A4:C4"/>
  <mergeCells count="2">
    <mergeCell ref="A1:C1"/>
    <mergeCell ref="A2:C2"/>
  </mergeCells>
  <pageMargins left="0.25" right="0.25" top="0.5" bottom="0.5" header="0.2" footer="0.2"/>
  <pageSetup paperSize="9"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4E78"/>
    <pageSetUpPr fitToPage="1"/>
  </sheetPr>
  <dimension ref="A1:V31"/>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3" width="15" customWidth="1"/>
    <col min="4" max="4" width="30" customWidth="1"/>
    <col min="5" max="5" width="46" customWidth="1"/>
    <col min="6" max="6" width="54" customWidth="1"/>
    <col min="7" max="7" width="52" customWidth="1"/>
    <col min="8" max="8" width="66" customWidth="1"/>
    <col min="9" max="9" width="58" customWidth="1"/>
    <col min="10" max="10" width="62" customWidth="1"/>
    <col min="11" max="11" width="20" customWidth="1"/>
    <col min="12" max="12" width="22" customWidth="1"/>
    <col min="13" max="13" width="10" customWidth="1"/>
    <col min="14" max="14" width="12" customWidth="1"/>
    <col min="15" max="15" width="18" customWidth="1"/>
    <col min="16" max="16" width="16" customWidth="1"/>
    <col min="17" max="17" width="30" customWidth="1"/>
    <col min="18" max="18" width="42" customWidth="1"/>
    <col min="19" max="19" width="54" customWidth="1"/>
    <col min="20" max="20" width="40" customWidth="1"/>
    <col min="21" max="21" width="31" customWidth="1"/>
    <col min="22" max="22" width="35" customWidth="1"/>
  </cols>
  <sheetData>
    <row r="1" ht="30" customHeight="1" spans="1:22" s="3" customFormat="1" x14ac:dyDescent="0.25">
      <c r="A1" s="3" t="s">
        <v>59</v>
      </c>
      <c r="B1" s="3" t="s">
        <v>60</v>
      </c>
      <c r="C1" s="3" t="s">
        <v>61</v>
      </c>
      <c r="D1" s="3" t="s">
        <v>62</v>
      </c>
      <c r="E1" s="3" t="s">
        <v>63</v>
      </c>
      <c r="F1" s="3" t="s">
        <v>64</v>
      </c>
      <c r="G1" s="3" t="s">
        <v>65</v>
      </c>
      <c r="H1" s="3" t="s">
        <v>66</v>
      </c>
      <c r="I1" s="3" t="s">
        <v>67</v>
      </c>
      <c r="J1" s="3" t="s">
        <v>68</v>
      </c>
      <c r="K1" s="3" t="s">
        <v>69</v>
      </c>
      <c r="L1" s="3" t="s">
        <v>70</v>
      </c>
      <c r="M1" s="3" t="s">
        <v>71</v>
      </c>
      <c r="N1" s="3" t="s">
        <v>72</v>
      </c>
      <c r="O1" s="3" t="s">
        <v>73</v>
      </c>
      <c r="P1" s="3" t="s">
        <v>74</v>
      </c>
      <c r="Q1" s="3" t="s">
        <v>75</v>
      </c>
      <c r="R1" s="3" t="s">
        <v>27</v>
      </c>
      <c r="S1" s="3" t="s">
        <v>30</v>
      </c>
      <c r="T1" s="3" t="s">
        <v>76</v>
      </c>
      <c r="U1" s="3" t="s">
        <v>77</v>
      </c>
      <c r="V1" s="3" t="s">
        <v>78</v>
      </c>
    </row>
    <row r="2" ht="76" customHeight="1" spans="1:22" s="7" customFormat="1" x14ac:dyDescent="0.25">
      <c r="A2" s="7">
        <v>1</v>
      </c>
      <c r="B2" s="8" t="s">
        <v>79</v>
      </c>
      <c r="C2" s="7" t="s">
        <v>80</v>
      </c>
      <c r="D2" s="7" t="s">
        <v>81</v>
      </c>
      <c r="E2" s="7" t="s">
        <v>82</v>
      </c>
      <c r="F2" s="7" t="s">
        <v>83</v>
      </c>
      <c r="G2" s="7" t="s">
        <v>84</v>
      </c>
      <c r="H2" s="7" t="s">
        <v>85</v>
      </c>
      <c r="I2" s="9" t="s">
        <v>86</v>
      </c>
      <c r="J2" s="7" t="s">
        <v>87</v>
      </c>
      <c r="K2" s="7" t="s">
        <v>88</v>
      </c>
      <c r="L2" s="7" t="s">
        <v>89</v>
      </c>
      <c r="M2" s="10" t="s">
        <v>90</v>
      </c>
      <c r="N2" s="7" t="s">
        <v>91</v>
      </c>
      <c r="O2" s="7" t="s">
        <v>92</v>
      </c>
      <c r="P2" s="7" t="s">
        <v>93</v>
      </c>
      <c r="Q2" s="7" t="s">
        <v>94</v>
      </c>
      <c r="R2" s="7" t="s">
        <v>95</v>
      </c>
      <c r="S2" s="7" t="s">
        <v>96</v>
      </c>
      <c r="T2" s="7" t="s">
        <v>97</v>
      </c>
      <c r="U2" s="7" t="s">
        <v>98</v>
      </c>
      <c r="V2" s="7" t="s">
        <v>99</v>
      </c>
    </row>
    <row r="3" ht="76" customHeight="1" spans="1:22" s="7" customFormat="1" x14ac:dyDescent="0.25">
      <c r="A3" s="7">
        <v>2</v>
      </c>
      <c r="B3" s="8" t="s">
        <v>100</v>
      </c>
      <c r="C3" s="7" t="s">
        <v>80</v>
      </c>
      <c r="D3" s="7" t="s">
        <v>101</v>
      </c>
      <c r="E3" s="7" t="s">
        <v>102</v>
      </c>
      <c r="F3" s="7" t="s">
        <v>103</v>
      </c>
      <c r="G3" s="7" t="s">
        <v>104</v>
      </c>
      <c r="H3" s="7" t="s">
        <v>105</v>
      </c>
      <c r="I3" s="9" t="s">
        <v>86</v>
      </c>
      <c r="J3" s="7" t="s">
        <v>106</v>
      </c>
      <c r="K3" s="7" t="s">
        <v>88</v>
      </c>
      <c r="L3" s="7" t="s">
        <v>89</v>
      </c>
      <c r="M3" s="10" t="s">
        <v>90</v>
      </c>
      <c r="N3" s="7" t="s">
        <v>91</v>
      </c>
      <c r="O3" s="7" t="s">
        <v>92</v>
      </c>
      <c r="P3" s="7" t="s">
        <v>93</v>
      </c>
      <c r="Q3" s="7" t="s">
        <v>94</v>
      </c>
      <c r="R3" s="7" t="s">
        <v>107</v>
      </c>
      <c r="S3" s="7" t="s">
        <v>108</v>
      </c>
      <c r="T3" s="7" t="s">
        <v>109</v>
      </c>
      <c r="U3" s="7" t="s">
        <v>98</v>
      </c>
      <c r="V3" s="7" t="s">
        <v>99</v>
      </c>
    </row>
    <row r="4" ht="76" customHeight="1" spans="1:22" s="7" customFormat="1" x14ac:dyDescent="0.25">
      <c r="A4" s="7">
        <v>3</v>
      </c>
      <c r="B4" s="8" t="s">
        <v>110</v>
      </c>
      <c r="C4" s="7" t="s">
        <v>80</v>
      </c>
      <c r="D4" s="7" t="s">
        <v>101</v>
      </c>
      <c r="E4" s="7" t="s">
        <v>111</v>
      </c>
      <c r="F4" s="7" t="s">
        <v>112</v>
      </c>
      <c r="G4" s="7" t="s">
        <v>84</v>
      </c>
      <c r="H4" s="7" t="s">
        <v>113</v>
      </c>
      <c r="I4" s="9" t="s">
        <v>114</v>
      </c>
      <c r="J4" s="7" t="s">
        <v>115</v>
      </c>
      <c r="K4" s="7" t="s">
        <v>88</v>
      </c>
      <c r="L4" s="7" t="s">
        <v>89</v>
      </c>
      <c r="M4" s="10" t="s">
        <v>90</v>
      </c>
      <c r="N4" s="7" t="s">
        <v>91</v>
      </c>
      <c r="O4" s="7" t="s">
        <v>92</v>
      </c>
      <c r="P4" s="7" t="s">
        <v>93</v>
      </c>
      <c r="Q4" s="7" t="s">
        <v>94</v>
      </c>
      <c r="R4" s="7" t="s">
        <v>116</v>
      </c>
      <c r="S4" s="7" t="s">
        <v>117</v>
      </c>
      <c r="T4" s="7" t="s">
        <v>118</v>
      </c>
      <c r="U4" s="7" t="s">
        <v>98</v>
      </c>
      <c r="V4" s="7" t="s">
        <v>99</v>
      </c>
    </row>
    <row r="5" ht="76" customHeight="1" spans="1:22" s="7" customFormat="1" x14ac:dyDescent="0.25">
      <c r="A5" s="7">
        <v>4</v>
      </c>
      <c r="B5" s="8" t="s">
        <v>119</v>
      </c>
      <c r="C5" s="7" t="s">
        <v>80</v>
      </c>
      <c r="D5" s="7" t="s">
        <v>120</v>
      </c>
      <c r="E5" s="7" t="s">
        <v>121</v>
      </c>
      <c r="F5" s="7" t="s">
        <v>122</v>
      </c>
      <c r="G5" s="7" t="s">
        <v>84</v>
      </c>
      <c r="H5" s="7" t="s">
        <v>123</v>
      </c>
      <c r="I5" s="9" t="s">
        <v>124</v>
      </c>
      <c r="J5" s="7" t="s">
        <v>125</v>
      </c>
      <c r="K5" s="7" t="s">
        <v>88</v>
      </c>
      <c r="L5" s="7" t="s">
        <v>89</v>
      </c>
      <c r="M5" s="10" t="s">
        <v>90</v>
      </c>
      <c r="N5" s="7" t="s">
        <v>91</v>
      </c>
      <c r="O5" s="7" t="s">
        <v>92</v>
      </c>
      <c r="P5" s="7" t="s">
        <v>93</v>
      </c>
      <c r="Q5" s="7" t="s">
        <v>94</v>
      </c>
      <c r="R5" s="7" t="s">
        <v>107</v>
      </c>
      <c r="S5" s="7" t="s">
        <v>108</v>
      </c>
      <c r="T5" s="7" t="s">
        <v>126</v>
      </c>
      <c r="U5" s="7" t="s">
        <v>98</v>
      </c>
      <c r="V5" s="7" t="s">
        <v>99</v>
      </c>
    </row>
    <row r="6" ht="76" customHeight="1" spans="1:22" s="7" customFormat="1" x14ac:dyDescent="0.25">
      <c r="A6" s="7">
        <v>5</v>
      </c>
      <c r="B6" s="8" t="s">
        <v>127</v>
      </c>
      <c r="C6" s="7" t="s">
        <v>80</v>
      </c>
      <c r="D6" s="7" t="s">
        <v>128</v>
      </c>
      <c r="E6" s="7" t="s">
        <v>129</v>
      </c>
      <c r="F6" s="7" t="s">
        <v>130</v>
      </c>
      <c r="G6" s="7" t="s">
        <v>84</v>
      </c>
      <c r="H6" s="7" t="s">
        <v>131</v>
      </c>
      <c r="I6" s="9" t="s">
        <v>132</v>
      </c>
      <c r="J6" s="7" t="s">
        <v>133</v>
      </c>
      <c r="K6" s="7" t="s">
        <v>88</v>
      </c>
      <c r="L6" s="7" t="s">
        <v>89</v>
      </c>
      <c r="M6" s="10" t="s">
        <v>90</v>
      </c>
      <c r="N6" s="7" t="s">
        <v>91</v>
      </c>
      <c r="O6" s="7" t="s">
        <v>92</v>
      </c>
      <c r="P6" s="7" t="s">
        <v>93</v>
      </c>
      <c r="Q6" s="7" t="s">
        <v>94</v>
      </c>
      <c r="R6" s="7" t="s">
        <v>116</v>
      </c>
      <c r="S6" s="7" t="s">
        <v>117</v>
      </c>
      <c r="T6" s="7" t="s">
        <v>134</v>
      </c>
      <c r="U6" s="7" t="s">
        <v>98</v>
      </c>
      <c r="V6" s="7" t="s">
        <v>99</v>
      </c>
    </row>
    <row r="7" ht="76" customHeight="1" spans="1:22" s="7" customFormat="1" x14ac:dyDescent="0.25">
      <c r="A7" s="7">
        <v>6</v>
      </c>
      <c r="B7" s="8" t="s">
        <v>135</v>
      </c>
      <c r="C7" s="7" t="s">
        <v>80</v>
      </c>
      <c r="D7" s="7" t="s">
        <v>136</v>
      </c>
      <c r="E7" s="7" t="s">
        <v>137</v>
      </c>
      <c r="F7" s="7" t="s">
        <v>138</v>
      </c>
      <c r="G7" s="7" t="s">
        <v>84</v>
      </c>
      <c r="H7" s="7" t="s">
        <v>139</v>
      </c>
      <c r="I7" s="9" t="s">
        <v>140</v>
      </c>
      <c r="J7" s="7" t="s">
        <v>141</v>
      </c>
      <c r="K7" s="7" t="s">
        <v>88</v>
      </c>
      <c r="L7" s="7" t="s">
        <v>142</v>
      </c>
      <c r="M7" s="10" t="s">
        <v>90</v>
      </c>
      <c r="N7" s="11" t="s">
        <v>143</v>
      </c>
      <c r="O7" s="7" t="s">
        <v>92</v>
      </c>
      <c r="P7" s="7" t="s">
        <v>93</v>
      </c>
      <c r="Q7" s="7" t="s">
        <v>94</v>
      </c>
      <c r="R7" s="7" t="s">
        <v>116</v>
      </c>
      <c r="S7" s="7" t="s">
        <v>117</v>
      </c>
      <c r="T7" s="7" t="s">
        <v>144</v>
      </c>
      <c r="U7" s="7" t="s">
        <v>98</v>
      </c>
      <c r="V7" s="7" t="s">
        <v>99</v>
      </c>
    </row>
    <row r="8" ht="76" customHeight="1" spans="1:22" s="7" customFormat="1" x14ac:dyDescent="0.25">
      <c r="A8" s="7">
        <v>7</v>
      </c>
      <c r="B8" s="8" t="s">
        <v>145</v>
      </c>
      <c r="C8" s="7" t="s">
        <v>80</v>
      </c>
      <c r="D8" s="7" t="s">
        <v>136</v>
      </c>
      <c r="E8" s="7" t="s">
        <v>146</v>
      </c>
      <c r="F8" s="7" t="s">
        <v>147</v>
      </c>
      <c r="G8" s="7" t="s">
        <v>84</v>
      </c>
      <c r="H8" s="7" t="s">
        <v>148</v>
      </c>
      <c r="I8" s="9" t="s">
        <v>149</v>
      </c>
      <c r="J8" s="7" t="s">
        <v>150</v>
      </c>
      <c r="K8" s="7" t="s">
        <v>88</v>
      </c>
      <c r="L8" s="7" t="s">
        <v>142</v>
      </c>
      <c r="M8" s="10" t="s">
        <v>90</v>
      </c>
      <c r="N8" s="11" t="s">
        <v>143</v>
      </c>
      <c r="O8" s="7" t="s">
        <v>92</v>
      </c>
      <c r="P8" s="7" t="s">
        <v>93</v>
      </c>
      <c r="Q8" s="7" t="s">
        <v>94</v>
      </c>
      <c r="R8" s="7" t="s">
        <v>116</v>
      </c>
      <c r="S8" s="7" t="s">
        <v>117</v>
      </c>
      <c r="T8" s="7" t="s">
        <v>151</v>
      </c>
      <c r="U8" s="7" t="s">
        <v>98</v>
      </c>
      <c r="V8" s="7" t="s">
        <v>99</v>
      </c>
    </row>
    <row r="9" ht="76" customHeight="1" spans="1:22" s="7" customFormat="1" x14ac:dyDescent="0.25">
      <c r="A9" s="7">
        <v>8</v>
      </c>
      <c r="B9" s="8" t="s">
        <v>152</v>
      </c>
      <c r="C9" s="7" t="s">
        <v>80</v>
      </c>
      <c r="D9" s="7" t="s">
        <v>136</v>
      </c>
      <c r="E9" s="7" t="s">
        <v>153</v>
      </c>
      <c r="F9" s="7" t="s">
        <v>154</v>
      </c>
      <c r="G9" s="7" t="s">
        <v>84</v>
      </c>
      <c r="H9" s="7" t="s">
        <v>155</v>
      </c>
      <c r="I9" s="9" t="s">
        <v>156</v>
      </c>
      <c r="J9" s="7" t="s">
        <v>157</v>
      </c>
      <c r="K9" s="7" t="s">
        <v>88</v>
      </c>
      <c r="L9" s="7" t="s">
        <v>142</v>
      </c>
      <c r="M9" s="10" t="s">
        <v>90</v>
      </c>
      <c r="N9" s="11" t="s">
        <v>143</v>
      </c>
      <c r="O9" s="7" t="s">
        <v>92</v>
      </c>
      <c r="P9" s="7" t="s">
        <v>93</v>
      </c>
      <c r="Q9" s="7" t="s">
        <v>94</v>
      </c>
      <c r="R9" s="7" t="s">
        <v>116</v>
      </c>
      <c r="S9" s="7" t="s">
        <v>117</v>
      </c>
      <c r="T9" s="7" t="s">
        <v>158</v>
      </c>
      <c r="U9" s="7" t="s">
        <v>98</v>
      </c>
      <c r="V9" s="7" t="s">
        <v>99</v>
      </c>
    </row>
    <row r="10" ht="76" customHeight="1" spans="1:22" s="7" customFormat="1" x14ac:dyDescent="0.25">
      <c r="A10" s="7">
        <v>9</v>
      </c>
      <c r="B10" s="8" t="s">
        <v>159</v>
      </c>
      <c r="C10" s="7" t="s">
        <v>80</v>
      </c>
      <c r="D10" s="7" t="s">
        <v>136</v>
      </c>
      <c r="E10" s="7" t="s">
        <v>160</v>
      </c>
      <c r="F10" s="7" t="s">
        <v>161</v>
      </c>
      <c r="G10" s="7" t="s">
        <v>84</v>
      </c>
      <c r="H10" s="7" t="s">
        <v>162</v>
      </c>
      <c r="I10" s="9" t="s">
        <v>163</v>
      </c>
      <c r="J10" s="7" t="s">
        <v>164</v>
      </c>
      <c r="K10" s="7" t="s">
        <v>88</v>
      </c>
      <c r="L10" s="7" t="s">
        <v>142</v>
      </c>
      <c r="M10" s="10" t="s">
        <v>90</v>
      </c>
      <c r="N10" s="11" t="s">
        <v>143</v>
      </c>
      <c r="O10" s="7" t="s">
        <v>92</v>
      </c>
      <c r="P10" s="7" t="s">
        <v>93</v>
      </c>
      <c r="Q10" s="7" t="s">
        <v>94</v>
      </c>
      <c r="R10" s="7" t="s">
        <v>116</v>
      </c>
      <c r="S10" s="7" t="s">
        <v>117</v>
      </c>
      <c r="T10" s="7" t="s">
        <v>165</v>
      </c>
      <c r="U10" s="7" t="s">
        <v>98</v>
      </c>
      <c r="V10" s="7" t="s">
        <v>99</v>
      </c>
    </row>
    <row r="11" ht="76" customHeight="1" spans="1:22" s="7" customFormat="1" x14ac:dyDescent="0.25">
      <c r="A11" s="7">
        <v>10</v>
      </c>
      <c r="B11" s="8" t="s">
        <v>166</v>
      </c>
      <c r="C11" s="7" t="s">
        <v>80</v>
      </c>
      <c r="D11" s="7" t="s">
        <v>167</v>
      </c>
      <c r="E11" s="7" t="s">
        <v>168</v>
      </c>
      <c r="F11" s="7" t="s">
        <v>169</v>
      </c>
      <c r="G11" s="7" t="s">
        <v>84</v>
      </c>
      <c r="H11" s="7" t="s">
        <v>170</v>
      </c>
      <c r="I11" s="9" t="s">
        <v>86</v>
      </c>
      <c r="J11" s="7" t="s">
        <v>171</v>
      </c>
      <c r="K11" s="7" t="s">
        <v>88</v>
      </c>
      <c r="L11" s="7" t="s">
        <v>172</v>
      </c>
      <c r="M11" s="10" t="s">
        <v>90</v>
      </c>
      <c r="N11" s="7" t="s">
        <v>91</v>
      </c>
      <c r="O11" s="7" t="s">
        <v>92</v>
      </c>
      <c r="P11" s="7" t="s">
        <v>93</v>
      </c>
      <c r="Q11" s="7" t="s">
        <v>94</v>
      </c>
      <c r="R11" s="7" t="s">
        <v>116</v>
      </c>
      <c r="S11" s="7" t="s">
        <v>117</v>
      </c>
      <c r="T11" s="7" t="s">
        <v>173</v>
      </c>
      <c r="U11" s="7" t="s">
        <v>98</v>
      </c>
      <c r="V11" s="7" t="s">
        <v>99</v>
      </c>
    </row>
    <row r="12" ht="76" customHeight="1" spans="1:22" s="7" customFormat="1" x14ac:dyDescent="0.25">
      <c r="A12" s="7">
        <v>11</v>
      </c>
      <c r="B12" s="8" t="s">
        <v>174</v>
      </c>
      <c r="C12" s="7" t="s">
        <v>80</v>
      </c>
      <c r="D12" s="7" t="s">
        <v>175</v>
      </c>
      <c r="E12" s="7" t="s">
        <v>176</v>
      </c>
      <c r="F12" s="7" t="s">
        <v>177</v>
      </c>
      <c r="G12" s="7" t="s">
        <v>84</v>
      </c>
      <c r="H12" s="7" t="s">
        <v>178</v>
      </c>
      <c r="I12" s="9" t="s">
        <v>179</v>
      </c>
      <c r="J12" s="7" t="s">
        <v>180</v>
      </c>
      <c r="K12" s="7" t="s">
        <v>88</v>
      </c>
      <c r="L12" s="7" t="s">
        <v>89</v>
      </c>
      <c r="M12" s="10" t="s">
        <v>90</v>
      </c>
      <c r="N12" s="7" t="s">
        <v>91</v>
      </c>
      <c r="O12" s="7" t="s">
        <v>92</v>
      </c>
      <c r="P12" s="7" t="s">
        <v>93</v>
      </c>
      <c r="Q12" s="7" t="s">
        <v>94</v>
      </c>
      <c r="R12" s="7" t="s">
        <v>116</v>
      </c>
      <c r="S12" s="7" t="s">
        <v>117</v>
      </c>
      <c r="T12" s="7" t="s">
        <v>181</v>
      </c>
      <c r="U12" s="7" t="s">
        <v>98</v>
      </c>
      <c r="V12" s="7" t="s">
        <v>99</v>
      </c>
    </row>
    <row r="13" ht="76" customHeight="1" spans="1:22" s="7" customFormat="1" x14ac:dyDescent="0.25">
      <c r="A13" s="7">
        <v>12</v>
      </c>
      <c r="B13" s="8" t="s">
        <v>182</v>
      </c>
      <c r="C13" s="7" t="s">
        <v>80</v>
      </c>
      <c r="D13" s="7" t="s">
        <v>183</v>
      </c>
      <c r="E13" s="7" t="s">
        <v>184</v>
      </c>
      <c r="F13" s="7" t="s">
        <v>185</v>
      </c>
      <c r="G13" s="7" t="s">
        <v>84</v>
      </c>
      <c r="H13" s="7" t="s">
        <v>186</v>
      </c>
      <c r="I13" s="9" t="s">
        <v>187</v>
      </c>
      <c r="J13" s="7" t="s">
        <v>188</v>
      </c>
      <c r="K13" s="7" t="s">
        <v>88</v>
      </c>
      <c r="L13" s="7" t="s">
        <v>89</v>
      </c>
      <c r="M13" s="10" t="s">
        <v>90</v>
      </c>
      <c r="N13" s="7" t="s">
        <v>91</v>
      </c>
      <c r="O13" s="7" t="s">
        <v>92</v>
      </c>
      <c r="P13" s="7" t="s">
        <v>93</v>
      </c>
      <c r="Q13" s="7" t="s">
        <v>94</v>
      </c>
      <c r="R13" s="7" t="s">
        <v>116</v>
      </c>
      <c r="S13" s="7" t="s">
        <v>117</v>
      </c>
      <c r="T13" s="7" t="s">
        <v>189</v>
      </c>
      <c r="U13" s="7" t="s">
        <v>98</v>
      </c>
      <c r="V13" s="7" t="s">
        <v>99</v>
      </c>
    </row>
    <row r="14" ht="76" customHeight="1" spans="1:22" s="7" customFormat="1" x14ac:dyDescent="0.25">
      <c r="A14" s="7">
        <v>13</v>
      </c>
      <c r="B14" s="8" t="s">
        <v>190</v>
      </c>
      <c r="C14" s="7" t="s">
        <v>80</v>
      </c>
      <c r="D14" s="7" t="s">
        <v>191</v>
      </c>
      <c r="E14" s="7" t="s">
        <v>192</v>
      </c>
      <c r="F14" s="7" t="s">
        <v>193</v>
      </c>
      <c r="G14" s="7" t="s">
        <v>84</v>
      </c>
      <c r="H14" s="7" t="s">
        <v>194</v>
      </c>
      <c r="I14" s="9" t="s">
        <v>179</v>
      </c>
      <c r="J14" s="7" t="s">
        <v>195</v>
      </c>
      <c r="K14" s="7" t="s">
        <v>196</v>
      </c>
      <c r="L14" s="7" t="s">
        <v>89</v>
      </c>
      <c r="M14" s="10" t="s">
        <v>90</v>
      </c>
      <c r="N14" s="11" t="s">
        <v>143</v>
      </c>
      <c r="O14" s="7" t="s">
        <v>92</v>
      </c>
      <c r="P14" s="7" t="s">
        <v>93</v>
      </c>
      <c r="Q14" s="7" t="s">
        <v>94</v>
      </c>
      <c r="R14" s="7" t="s">
        <v>197</v>
      </c>
      <c r="S14" s="7" t="s">
        <v>198</v>
      </c>
      <c r="T14" s="7" t="s">
        <v>199</v>
      </c>
      <c r="U14" s="7" t="s">
        <v>98</v>
      </c>
      <c r="V14" s="7" t="s">
        <v>99</v>
      </c>
    </row>
    <row r="15" ht="76" customHeight="1" spans="1:22" s="7" customFormat="1" x14ac:dyDescent="0.25">
      <c r="A15" s="7">
        <v>14</v>
      </c>
      <c r="B15" s="8" t="s">
        <v>200</v>
      </c>
      <c r="C15" s="7" t="s">
        <v>80</v>
      </c>
      <c r="D15" s="7" t="s">
        <v>201</v>
      </c>
      <c r="E15" s="7" t="s">
        <v>202</v>
      </c>
      <c r="F15" s="7" t="s">
        <v>203</v>
      </c>
      <c r="G15" s="7" t="s">
        <v>84</v>
      </c>
      <c r="H15" s="7" t="s">
        <v>204</v>
      </c>
      <c r="I15" s="9" t="s">
        <v>205</v>
      </c>
      <c r="J15" s="7" t="s">
        <v>206</v>
      </c>
      <c r="K15" s="7" t="s">
        <v>88</v>
      </c>
      <c r="L15" s="7" t="s">
        <v>89</v>
      </c>
      <c r="M15" s="10" t="s">
        <v>90</v>
      </c>
      <c r="N15" s="7" t="s">
        <v>91</v>
      </c>
      <c r="O15" s="7" t="s">
        <v>92</v>
      </c>
      <c r="P15" s="7" t="s">
        <v>93</v>
      </c>
      <c r="Q15" s="7" t="s">
        <v>94</v>
      </c>
      <c r="R15" s="7" t="s">
        <v>107</v>
      </c>
      <c r="S15" s="7" t="s">
        <v>108</v>
      </c>
      <c r="T15" s="7" t="s">
        <v>207</v>
      </c>
      <c r="U15" s="7" t="s">
        <v>98</v>
      </c>
      <c r="V15" s="7" t="s">
        <v>99</v>
      </c>
    </row>
    <row r="16" ht="76" customHeight="1" spans="1:22" s="7" customFormat="1" x14ac:dyDescent="0.25">
      <c r="A16" s="7">
        <v>15</v>
      </c>
      <c r="B16" s="8" t="s">
        <v>208</v>
      </c>
      <c r="C16" s="7" t="s">
        <v>80</v>
      </c>
      <c r="D16" s="7" t="s">
        <v>209</v>
      </c>
      <c r="E16" s="7" t="s">
        <v>210</v>
      </c>
      <c r="F16" s="7" t="s">
        <v>211</v>
      </c>
      <c r="G16" s="7" t="s">
        <v>84</v>
      </c>
      <c r="H16" s="7" t="s">
        <v>212</v>
      </c>
      <c r="I16" s="9" t="s">
        <v>213</v>
      </c>
      <c r="J16" s="7" t="s">
        <v>214</v>
      </c>
      <c r="K16" s="7" t="s">
        <v>88</v>
      </c>
      <c r="L16" s="7" t="s">
        <v>172</v>
      </c>
      <c r="M16" s="10" t="s">
        <v>90</v>
      </c>
      <c r="N16" s="7" t="s">
        <v>91</v>
      </c>
      <c r="O16" s="7" t="s">
        <v>92</v>
      </c>
      <c r="P16" s="7" t="s">
        <v>93</v>
      </c>
      <c r="Q16" s="7" t="s">
        <v>94</v>
      </c>
      <c r="R16" s="7" t="s">
        <v>116</v>
      </c>
      <c r="S16" s="7" t="s">
        <v>117</v>
      </c>
      <c r="T16" s="7" t="s">
        <v>215</v>
      </c>
      <c r="U16" s="7" t="s">
        <v>98</v>
      </c>
      <c r="V16" s="7" t="s">
        <v>99</v>
      </c>
    </row>
    <row r="17" ht="76" customHeight="1" spans="1:22" s="7" customFormat="1" x14ac:dyDescent="0.25">
      <c r="A17" s="7">
        <v>16</v>
      </c>
      <c r="B17" s="8" t="s">
        <v>216</v>
      </c>
      <c r="C17" s="7" t="s">
        <v>80</v>
      </c>
      <c r="D17" s="7" t="s">
        <v>217</v>
      </c>
      <c r="E17" s="7" t="s">
        <v>218</v>
      </c>
      <c r="F17" s="7" t="s">
        <v>219</v>
      </c>
      <c r="G17" s="7" t="s">
        <v>84</v>
      </c>
      <c r="H17" s="7" t="s">
        <v>220</v>
      </c>
      <c r="I17" s="9" t="s">
        <v>221</v>
      </c>
      <c r="J17" s="7" t="s">
        <v>222</v>
      </c>
      <c r="K17" s="7" t="s">
        <v>223</v>
      </c>
      <c r="L17" s="7" t="s">
        <v>142</v>
      </c>
      <c r="M17" s="10" t="s">
        <v>90</v>
      </c>
      <c r="N17" s="7" t="s">
        <v>91</v>
      </c>
      <c r="O17" s="7" t="s">
        <v>92</v>
      </c>
      <c r="P17" s="7" t="s">
        <v>93</v>
      </c>
      <c r="Q17" s="7" t="s">
        <v>94</v>
      </c>
      <c r="R17" s="7" t="s">
        <v>224</v>
      </c>
      <c r="S17" s="7" t="s">
        <v>225</v>
      </c>
      <c r="T17" s="7" t="s">
        <v>226</v>
      </c>
      <c r="U17" s="7" t="s">
        <v>98</v>
      </c>
      <c r="V17" s="7" t="s">
        <v>99</v>
      </c>
    </row>
    <row r="18" ht="76" customHeight="1" spans="1:22" s="7" customFormat="1" x14ac:dyDescent="0.25">
      <c r="A18" s="7">
        <v>17</v>
      </c>
      <c r="B18" s="8" t="s">
        <v>227</v>
      </c>
      <c r="C18" s="7" t="s">
        <v>80</v>
      </c>
      <c r="D18" s="7" t="s">
        <v>228</v>
      </c>
      <c r="E18" s="7" t="s">
        <v>229</v>
      </c>
      <c r="F18" s="7" t="s">
        <v>230</v>
      </c>
      <c r="G18" s="7" t="s">
        <v>231</v>
      </c>
      <c r="H18" s="7" t="s">
        <v>232</v>
      </c>
      <c r="I18" s="9" t="s">
        <v>233</v>
      </c>
      <c r="J18" s="7" t="s">
        <v>234</v>
      </c>
      <c r="K18" s="7" t="s">
        <v>196</v>
      </c>
      <c r="L18" s="7" t="s">
        <v>89</v>
      </c>
      <c r="M18" s="10" t="s">
        <v>90</v>
      </c>
      <c r="N18" s="11" t="s">
        <v>143</v>
      </c>
      <c r="O18" s="7" t="s">
        <v>92</v>
      </c>
      <c r="P18" s="12" t="s">
        <v>235</v>
      </c>
      <c r="Q18" s="7" t="s">
        <v>94</v>
      </c>
      <c r="R18" s="7" t="s">
        <v>236</v>
      </c>
      <c r="S18" s="7" t="s">
        <v>237</v>
      </c>
      <c r="T18" s="7" t="s">
        <v>238</v>
      </c>
      <c r="U18" s="7" t="s">
        <v>98</v>
      </c>
      <c r="V18" s="7" t="s">
        <v>99</v>
      </c>
    </row>
    <row r="19" ht="76" customHeight="1" spans="1:22" s="7" customFormat="1" x14ac:dyDescent="0.25">
      <c r="A19" s="7">
        <v>18</v>
      </c>
      <c r="B19" s="8" t="s">
        <v>239</v>
      </c>
      <c r="C19" s="7" t="s">
        <v>80</v>
      </c>
      <c r="D19" s="7" t="s">
        <v>240</v>
      </c>
      <c r="E19" s="7" t="s">
        <v>241</v>
      </c>
      <c r="F19" s="7" t="s">
        <v>242</v>
      </c>
      <c r="G19" s="7" t="s">
        <v>243</v>
      </c>
      <c r="H19" s="7" t="s">
        <v>244</v>
      </c>
      <c r="I19" s="9" t="s">
        <v>245</v>
      </c>
      <c r="J19" s="7" t="s">
        <v>246</v>
      </c>
      <c r="K19" s="7" t="s">
        <v>196</v>
      </c>
      <c r="L19" s="7" t="s">
        <v>89</v>
      </c>
      <c r="M19" s="10" t="s">
        <v>90</v>
      </c>
      <c r="N19" s="11" t="s">
        <v>143</v>
      </c>
      <c r="O19" s="7" t="s">
        <v>92</v>
      </c>
      <c r="P19" s="7" t="s">
        <v>93</v>
      </c>
      <c r="Q19" s="7" t="s">
        <v>94</v>
      </c>
      <c r="R19" s="7" t="s">
        <v>236</v>
      </c>
      <c r="S19" s="7" t="s">
        <v>237</v>
      </c>
      <c r="T19" s="7" t="s">
        <v>247</v>
      </c>
      <c r="U19" s="7" t="s">
        <v>98</v>
      </c>
      <c r="V19" s="7" t="s">
        <v>99</v>
      </c>
    </row>
    <row r="20" ht="76" customHeight="1" spans="1:22" s="7" customFormat="1" x14ac:dyDescent="0.25">
      <c r="A20" s="7">
        <v>19</v>
      </c>
      <c r="B20" s="8" t="s">
        <v>248</v>
      </c>
      <c r="C20" s="7" t="s">
        <v>80</v>
      </c>
      <c r="D20" s="7" t="s">
        <v>101</v>
      </c>
      <c r="E20" s="7" t="s">
        <v>249</v>
      </c>
      <c r="F20" s="7" t="s">
        <v>250</v>
      </c>
      <c r="G20" s="7" t="s">
        <v>243</v>
      </c>
      <c r="H20" s="7" t="s">
        <v>251</v>
      </c>
      <c r="I20" s="9" t="s">
        <v>86</v>
      </c>
      <c r="J20" s="7" t="s">
        <v>252</v>
      </c>
      <c r="K20" s="7" t="s">
        <v>88</v>
      </c>
      <c r="L20" s="7" t="s">
        <v>89</v>
      </c>
      <c r="M20" s="10" t="s">
        <v>90</v>
      </c>
      <c r="N20" s="7" t="s">
        <v>91</v>
      </c>
      <c r="O20" s="7" t="s">
        <v>92</v>
      </c>
      <c r="P20" s="7" t="s">
        <v>93</v>
      </c>
      <c r="Q20" s="7" t="s">
        <v>94</v>
      </c>
      <c r="R20" s="7" t="s">
        <v>253</v>
      </c>
      <c r="S20" s="7" t="s">
        <v>254</v>
      </c>
      <c r="T20" s="7" t="s">
        <v>255</v>
      </c>
      <c r="U20" s="7" t="s">
        <v>98</v>
      </c>
      <c r="V20" s="7" t="s">
        <v>99</v>
      </c>
    </row>
    <row r="21" ht="76" customHeight="1" spans="1:22" s="7" customFormat="1" x14ac:dyDescent="0.25">
      <c r="A21" s="7">
        <v>20</v>
      </c>
      <c r="B21" s="8" t="s">
        <v>256</v>
      </c>
      <c r="C21" s="7" t="s">
        <v>80</v>
      </c>
      <c r="D21" s="7" t="s">
        <v>257</v>
      </c>
      <c r="E21" s="7" t="s">
        <v>258</v>
      </c>
      <c r="F21" s="7" t="s">
        <v>259</v>
      </c>
      <c r="G21" s="7" t="s">
        <v>243</v>
      </c>
      <c r="H21" s="7" t="s">
        <v>260</v>
      </c>
      <c r="I21" s="9" t="s">
        <v>261</v>
      </c>
      <c r="J21" s="7" t="s">
        <v>262</v>
      </c>
      <c r="K21" s="7" t="s">
        <v>88</v>
      </c>
      <c r="L21" s="7" t="s">
        <v>142</v>
      </c>
      <c r="M21" s="10" t="s">
        <v>90</v>
      </c>
      <c r="N21" s="7" t="s">
        <v>91</v>
      </c>
      <c r="O21" s="7" t="s">
        <v>92</v>
      </c>
      <c r="P21" s="7" t="s">
        <v>93</v>
      </c>
      <c r="Q21" s="7" t="s">
        <v>94</v>
      </c>
      <c r="R21" s="7" t="s">
        <v>253</v>
      </c>
      <c r="S21" s="7" t="s">
        <v>254</v>
      </c>
      <c r="T21" s="7" t="s">
        <v>263</v>
      </c>
      <c r="U21" s="7" t="s">
        <v>98</v>
      </c>
      <c r="V21" s="7" t="s">
        <v>99</v>
      </c>
    </row>
    <row r="22" ht="76" customHeight="1" spans="1:22" s="7" customFormat="1" x14ac:dyDescent="0.25">
      <c r="A22" s="7">
        <v>21</v>
      </c>
      <c r="B22" s="8" t="s">
        <v>264</v>
      </c>
      <c r="C22" s="7" t="s">
        <v>80</v>
      </c>
      <c r="D22" s="7" t="s">
        <v>265</v>
      </c>
      <c r="E22" s="7" t="s">
        <v>266</v>
      </c>
      <c r="F22" s="7" t="s">
        <v>267</v>
      </c>
      <c r="G22" s="7" t="s">
        <v>243</v>
      </c>
      <c r="H22" s="7" t="s">
        <v>268</v>
      </c>
      <c r="I22" s="9" t="s">
        <v>269</v>
      </c>
      <c r="J22" s="7" t="s">
        <v>270</v>
      </c>
      <c r="K22" s="7" t="s">
        <v>196</v>
      </c>
      <c r="L22" s="7" t="s">
        <v>89</v>
      </c>
      <c r="M22" s="10" t="s">
        <v>90</v>
      </c>
      <c r="N22" s="11" t="s">
        <v>143</v>
      </c>
      <c r="O22" s="7" t="s">
        <v>92</v>
      </c>
      <c r="P22" s="12" t="s">
        <v>235</v>
      </c>
      <c r="Q22" s="7" t="s">
        <v>94</v>
      </c>
      <c r="R22" s="7" t="s">
        <v>236</v>
      </c>
      <c r="S22" s="7" t="s">
        <v>237</v>
      </c>
      <c r="T22" s="7" t="s">
        <v>271</v>
      </c>
      <c r="U22" s="7" t="s">
        <v>98</v>
      </c>
      <c r="V22" s="7" t="s">
        <v>99</v>
      </c>
    </row>
    <row r="23" ht="76" customHeight="1" spans="1:22" s="7" customFormat="1" x14ac:dyDescent="0.25">
      <c r="A23" s="7">
        <v>22</v>
      </c>
      <c r="B23" s="8" t="s">
        <v>272</v>
      </c>
      <c r="C23" s="7" t="s">
        <v>80</v>
      </c>
      <c r="D23" s="7" t="s">
        <v>273</v>
      </c>
      <c r="E23" s="7" t="s">
        <v>274</v>
      </c>
      <c r="F23" s="7" t="s">
        <v>275</v>
      </c>
      <c r="G23" s="7" t="s">
        <v>276</v>
      </c>
      <c r="H23" s="7" t="s">
        <v>277</v>
      </c>
      <c r="I23" s="9" t="s">
        <v>278</v>
      </c>
      <c r="J23" s="7" t="s">
        <v>279</v>
      </c>
      <c r="K23" s="7" t="s">
        <v>196</v>
      </c>
      <c r="L23" s="7" t="s">
        <v>89</v>
      </c>
      <c r="M23" s="10" t="s">
        <v>90</v>
      </c>
      <c r="N23" s="11" t="s">
        <v>143</v>
      </c>
      <c r="O23" s="7" t="s">
        <v>92</v>
      </c>
      <c r="P23" s="7" t="s">
        <v>93</v>
      </c>
      <c r="Q23" s="7" t="s">
        <v>94</v>
      </c>
      <c r="R23" s="7" t="s">
        <v>236</v>
      </c>
      <c r="S23" s="7" t="s">
        <v>237</v>
      </c>
      <c r="T23" s="7" t="s">
        <v>280</v>
      </c>
      <c r="U23" s="7" t="s">
        <v>98</v>
      </c>
      <c r="V23" s="7" t="s">
        <v>99</v>
      </c>
    </row>
    <row r="24" ht="76" customHeight="1" spans="1:22" s="7" customFormat="1" x14ac:dyDescent="0.25">
      <c r="A24" s="7">
        <v>23</v>
      </c>
      <c r="B24" s="8" t="s">
        <v>281</v>
      </c>
      <c r="C24" s="7" t="s">
        <v>80</v>
      </c>
      <c r="D24" s="7" t="s">
        <v>282</v>
      </c>
      <c r="E24" s="7" t="s">
        <v>283</v>
      </c>
      <c r="F24" s="7" t="s">
        <v>284</v>
      </c>
      <c r="G24" s="7" t="s">
        <v>276</v>
      </c>
      <c r="H24" s="7" t="s">
        <v>285</v>
      </c>
      <c r="I24" s="9" t="s">
        <v>286</v>
      </c>
      <c r="J24" s="7" t="s">
        <v>287</v>
      </c>
      <c r="K24" s="7" t="s">
        <v>88</v>
      </c>
      <c r="L24" s="7" t="s">
        <v>89</v>
      </c>
      <c r="M24" s="10" t="s">
        <v>90</v>
      </c>
      <c r="N24" s="7" t="s">
        <v>91</v>
      </c>
      <c r="O24" s="7" t="s">
        <v>92</v>
      </c>
      <c r="P24" s="7" t="s">
        <v>93</v>
      </c>
      <c r="Q24" s="7" t="s">
        <v>94</v>
      </c>
      <c r="R24" s="7" t="s">
        <v>253</v>
      </c>
      <c r="S24" s="7" t="s">
        <v>254</v>
      </c>
      <c r="T24" s="7" t="s">
        <v>288</v>
      </c>
      <c r="U24" s="7" t="s">
        <v>98</v>
      </c>
      <c r="V24" s="7" t="s">
        <v>99</v>
      </c>
    </row>
    <row r="25" ht="76" customHeight="1" spans="1:22" s="7" customFormat="1" x14ac:dyDescent="0.25">
      <c r="A25" s="7">
        <v>24</v>
      </c>
      <c r="B25" s="8" t="s">
        <v>289</v>
      </c>
      <c r="C25" s="7" t="s">
        <v>80</v>
      </c>
      <c r="D25" s="7" t="s">
        <v>290</v>
      </c>
      <c r="E25" s="7" t="s">
        <v>291</v>
      </c>
      <c r="F25" s="7" t="s">
        <v>292</v>
      </c>
      <c r="G25" s="7" t="s">
        <v>84</v>
      </c>
      <c r="H25" s="7" t="s">
        <v>293</v>
      </c>
      <c r="I25" s="9" t="s">
        <v>294</v>
      </c>
      <c r="J25" s="7" t="s">
        <v>295</v>
      </c>
      <c r="K25" s="7" t="s">
        <v>88</v>
      </c>
      <c r="L25" s="7" t="s">
        <v>296</v>
      </c>
      <c r="M25" s="10" t="s">
        <v>90</v>
      </c>
      <c r="N25" s="7" t="s">
        <v>91</v>
      </c>
      <c r="O25" s="7" t="s">
        <v>92</v>
      </c>
      <c r="P25" s="7" t="s">
        <v>93</v>
      </c>
      <c r="Q25" s="7" t="s">
        <v>94</v>
      </c>
      <c r="R25" s="7" t="s">
        <v>297</v>
      </c>
      <c r="S25" s="7" t="s">
        <v>298</v>
      </c>
      <c r="T25" s="7" t="s">
        <v>299</v>
      </c>
      <c r="U25" s="7" t="s">
        <v>98</v>
      </c>
      <c r="V25" s="7" t="s">
        <v>99</v>
      </c>
    </row>
    <row r="26" ht="76" customHeight="1" spans="1:22" s="7" customFormat="1" x14ac:dyDescent="0.25">
      <c r="A26" s="7">
        <v>25</v>
      </c>
      <c r="B26" s="8" t="s">
        <v>300</v>
      </c>
      <c r="C26" s="7" t="s">
        <v>80</v>
      </c>
      <c r="D26" s="7" t="s">
        <v>301</v>
      </c>
      <c r="E26" s="7" t="s">
        <v>302</v>
      </c>
      <c r="F26" s="7" t="s">
        <v>303</v>
      </c>
      <c r="G26" s="7" t="s">
        <v>84</v>
      </c>
      <c r="H26" s="7" t="s">
        <v>304</v>
      </c>
      <c r="I26" s="9" t="s">
        <v>305</v>
      </c>
      <c r="J26" s="7" t="s">
        <v>306</v>
      </c>
      <c r="K26" s="7" t="s">
        <v>88</v>
      </c>
      <c r="L26" s="7" t="s">
        <v>296</v>
      </c>
      <c r="M26" s="10" t="s">
        <v>90</v>
      </c>
      <c r="N26" s="7" t="s">
        <v>91</v>
      </c>
      <c r="O26" s="7" t="s">
        <v>92</v>
      </c>
      <c r="P26" s="7" t="s">
        <v>93</v>
      </c>
      <c r="Q26" s="7" t="s">
        <v>94</v>
      </c>
      <c r="R26" s="7" t="s">
        <v>297</v>
      </c>
      <c r="S26" s="7" t="s">
        <v>298</v>
      </c>
      <c r="T26" s="7" t="s">
        <v>307</v>
      </c>
      <c r="U26" s="7" t="s">
        <v>98</v>
      </c>
      <c r="V26" s="7" t="s">
        <v>99</v>
      </c>
    </row>
    <row r="27" ht="76" customHeight="1" spans="1:22" s="7" customFormat="1" x14ac:dyDescent="0.25">
      <c r="A27" s="7">
        <v>26</v>
      </c>
      <c r="B27" s="8" t="s">
        <v>308</v>
      </c>
      <c r="C27" s="7" t="s">
        <v>80</v>
      </c>
      <c r="D27" s="7" t="s">
        <v>309</v>
      </c>
      <c r="E27" s="7" t="s">
        <v>310</v>
      </c>
      <c r="F27" s="7" t="s">
        <v>311</v>
      </c>
      <c r="G27" s="7" t="s">
        <v>84</v>
      </c>
      <c r="H27" s="7" t="s">
        <v>312</v>
      </c>
      <c r="I27" s="9" t="s">
        <v>313</v>
      </c>
      <c r="J27" s="7" t="s">
        <v>314</v>
      </c>
      <c r="K27" s="7" t="s">
        <v>88</v>
      </c>
      <c r="L27" s="7" t="s">
        <v>296</v>
      </c>
      <c r="M27" s="10" t="s">
        <v>90</v>
      </c>
      <c r="N27" s="7" t="s">
        <v>91</v>
      </c>
      <c r="O27" s="7" t="s">
        <v>92</v>
      </c>
      <c r="P27" s="7" t="s">
        <v>93</v>
      </c>
      <c r="Q27" s="7" t="s">
        <v>94</v>
      </c>
      <c r="R27" s="7" t="s">
        <v>297</v>
      </c>
      <c r="S27" s="7" t="s">
        <v>298</v>
      </c>
      <c r="T27" s="7" t="s">
        <v>315</v>
      </c>
      <c r="U27" s="7" t="s">
        <v>98</v>
      </c>
      <c r="V27" s="7" t="s">
        <v>99</v>
      </c>
    </row>
    <row r="28" ht="76" customHeight="1" spans="1:22" s="7" customFormat="1" x14ac:dyDescent="0.25">
      <c r="A28" s="7">
        <v>27</v>
      </c>
      <c r="B28" s="8" t="s">
        <v>316</v>
      </c>
      <c r="C28" s="7" t="s">
        <v>80</v>
      </c>
      <c r="D28" s="7" t="s">
        <v>317</v>
      </c>
      <c r="E28" s="7" t="s">
        <v>318</v>
      </c>
      <c r="F28" s="7" t="s">
        <v>319</v>
      </c>
      <c r="G28" s="7" t="s">
        <v>84</v>
      </c>
      <c r="H28" s="7" t="s">
        <v>320</v>
      </c>
      <c r="I28" s="9" t="s">
        <v>321</v>
      </c>
      <c r="J28" s="7" t="s">
        <v>322</v>
      </c>
      <c r="K28" s="7" t="s">
        <v>88</v>
      </c>
      <c r="L28" s="7" t="s">
        <v>296</v>
      </c>
      <c r="M28" s="10" t="s">
        <v>90</v>
      </c>
      <c r="N28" s="7" t="s">
        <v>91</v>
      </c>
      <c r="O28" s="7" t="s">
        <v>92</v>
      </c>
      <c r="P28" s="7" t="s">
        <v>93</v>
      </c>
      <c r="Q28" s="7" t="s">
        <v>94</v>
      </c>
      <c r="R28" s="7" t="s">
        <v>297</v>
      </c>
      <c r="S28" s="7" t="s">
        <v>298</v>
      </c>
      <c r="T28" s="7" t="s">
        <v>323</v>
      </c>
      <c r="U28" s="7" t="s">
        <v>98</v>
      </c>
      <c r="V28" s="7" t="s">
        <v>99</v>
      </c>
    </row>
    <row r="29" ht="76" customHeight="1" spans="1:22" s="7" customFormat="1" x14ac:dyDescent="0.25">
      <c r="A29" s="7">
        <v>28</v>
      </c>
      <c r="B29" s="8" t="s">
        <v>324</v>
      </c>
      <c r="C29" s="7" t="s">
        <v>80</v>
      </c>
      <c r="D29" s="7" t="s">
        <v>325</v>
      </c>
      <c r="E29" s="7" t="s">
        <v>326</v>
      </c>
      <c r="F29" s="7" t="s">
        <v>327</v>
      </c>
      <c r="G29" s="7" t="s">
        <v>84</v>
      </c>
      <c r="H29" s="7" t="s">
        <v>328</v>
      </c>
      <c r="I29" s="9" t="s">
        <v>329</v>
      </c>
      <c r="J29" s="7" t="s">
        <v>330</v>
      </c>
      <c r="K29" s="7" t="s">
        <v>88</v>
      </c>
      <c r="L29" s="7" t="s">
        <v>296</v>
      </c>
      <c r="M29" s="10" t="s">
        <v>90</v>
      </c>
      <c r="N29" s="7" t="s">
        <v>91</v>
      </c>
      <c r="O29" s="7" t="s">
        <v>92</v>
      </c>
      <c r="P29" s="7" t="s">
        <v>93</v>
      </c>
      <c r="Q29" s="7" t="s">
        <v>94</v>
      </c>
      <c r="R29" s="7" t="s">
        <v>297</v>
      </c>
      <c r="S29" s="7" t="s">
        <v>298</v>
      </c>
      <c r="T29" s="7" t="s">
        <v>331</v>
      </c>
      <c r="U29" s="7" t="s">
        <v>98</v>
      </c>
      <c r="V29" s="7" t="s">
        <v>99</v>
      </c>
    </row>
    <row r="30" ht="76" customHeight="1" spans="1:22" s="7" customFormat="1" x14ac:dyDescent="0.25">
      <c r="A30" s="7">
        <v>29</v>
      </c>
      <c r="B30" s="8" t="s">
        <v>332</v>
      </c>
      <c r="C30" s="7" t="s">
        <v>80</v>
      </c>
      <c r="D30" s="7" t="s">
        <v>333</v>
      </c>
      <c r="E30" s="7" t="s">
        <v>334</v>
      </c>
      <c r="F30" s="7" t="s">
        <v>335</v>
      </c>
      <c r="G30" s="7" t="s">
        <v>84</v>
      </c>
      <c r="H30" s="7" t="s">
        <v>336</v>
      </c>
      <c r="I30" s="9" t="s">
        <v>337</v>
      </c>
      <c r="J30" s="7" t="s">
        <v>338</v>
      </c>
      <c r="K30" s="7" t="s">
        <v>88</v>
      </c>
      <c r="L30" s="7" t="s">
        <v>296</v>
      </c>
      <c r="M30" s="10" t="s">
        <v>90</v>
      </c>
      <c r="N30" s="7" t="s">
        <v>91</v>
      </c>
      <c r="O30" s="7" t="s">
        <v>92</v>
      </c>
      <c r="P30" s="7" t="s">
        <v>93</v>
      </c>
      <c r="Q30" s="7" t="s">
        <v>94</v>
      </c>
      <c r="R30" s="7" t="s">
        <v>297</v>
      </c>
      <c r="S30" s="7" t="s">
        <v>298</v>
      </c>
      <c r="T30" s="7" t="s">
        <v>339</v>
      </c>
      <c r="U30" s="7" t="s">
        <v>98</v>
      </c>
      <c r="V30" s="7" t="s">
        <v>99</v>
      </c>
    </row>
    <row r="31" ht="76" customHeight="1" spans="1:22" s="7" customFormat="1" x14ac:dyDescent="0.25">
      <c r="A31" s="7">
        <v>30</v>
      </c>
      <c r="B31" s="8" t="s">
        <v>340</v>
      </c>
      <c r="C31" s="7" t="s">
        <v>80</v>
      </c>
      <c r="D31" s="7" t="s">
        <v>341</v>
      </c>
      <c r="E31" s="7" t="s">
        <v>342</v>
      </c>
      <c r="F31" s="7" t="s">
        <v>343</v>
      </c>
      <c r="G31" s="7" t="s">
        <v>344</v>
      </c>
      <c r="H31" s="7" t="s">
        <v>345</v>
      </c>
      <c r="I31" s="9" t="s">
        <v>346</v>
      </c>
      <c r="J31" s="7" t="s">
        <v>347</v>
      </c>
      <c r="K31" s="7" t="s">
        <v>196</v>
      </c>
      <c r="L31" s="7" t="s">
        <v>172</v>
      </c>
      <c r="M31" s="10" t="s">
        <v>90</v>
      </c>
      <c r="N31" s="11" t="s">
        <v>143</v>
      </c>
      <c r="O31" s="7" t="s">
        <v>92</v>
      </c>
      <c r="P31" s="12" t="s">
        <v>235</v>
      </c>
      <c r="Q31" s="7" t="s">
        <v>94</v>
      </c>
      <c r="R31" s="7" t="s">
        <v>253</v>
      </c>
      <c r="S31" s="7" t="s">
        <v>254</v>
      </c>
      <c r="T31" s="7" t="s">
        <v>348</v>
      </c>
      <c r="U31" s="7" t="s">
        <v>98</v>
      </c>
      <c r="V31" s="7" t="s">
        <v>99</v>
      </c>
    </row>
  </sheetData>
  <pageMargins left="0.25" right="0.25" top="0.5" bottom="0.5" header="0.2" footer="0.2"/>
  <pageSetup paperSize="9" orientation="landscape" fitToWidth="1" fitToHeight="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65911"/>
    <pageSetUpPr fitToPage="1"/>
  </sheetPr>
  <dimension ref="A1:W35"/>
  <sheetViews>
    <sheetView workbookViewId="0" showGridLines="0" zoomScale="75">
      <pane xSplit="3" ySplit="1" topLeftCell="D2" activePane="bottomRight" state="frozen"/>
      <selection pane="bottomRight"/>
    </sheetView>
  </sheetViews>
  <sheetFormatPr defaultRowHeight="15" outlineLevelRow="0" outlineLevelCol="0" x14ac:dyDescent="55"/>
  <cols>
    <col min="1" max="1" width="10" customWidth="1"/>
    <col min="2" max="2" width="17" customWidth="1"/>
    <col min="3" max="3" width="15" customWidth="1"/>
    <col min="4" max="4" width="30" customWidth="1"/>
    <col min="5" max="5" width="46" customWidth="1"/>
    <col min="6" max="6" width="54" customWidth="1"/>
    <col min="7" max="7" width="52" customWidth="1"/>
    <col min="8" max="8" width="66" customWidth="1"/>
    <col min="9" max="9" width="46" customWidth="1"/>
    <col min="10" max="10" width="62" customWidth="1"/>
    <col min="11" max="11" width="20" customWidth="1"/>
    <col min="12" max="12" width="28" customWidth="1"/>
    <col min="13" max="13" width="10" customWidth="1"/>
    <col min="14" max="14" width="12" customWidth="1"/>
    <col min="15" max="15" width="25" customWidth="1"/>
    <col min="16" max="16" width="42" customWidth="1"/>
    <col min="17" max="17" width="54" customWidth="1"/>
    <col min="18" max="18" width="16" customWidth="1"/>
    <col min="19" max="19" width="48" customWidth="1"/>
    <col min="20" max="20" width="20" customWidth="1"/>
    <col min="21" max="21" width="18" customWidth="1"/>
    <col min="22" max="22" width="17" customWidth="1"/>
    <col min="23" max="23" width="40" customWidth="1"/>
  </cols>
  <sheetData>
    <row r="1" ht="30" customHeight="1" spans="1:23" s="13" customFormat="1" x14ac:dyDescent="0.25">
      <c r="A1" s="13" t="s">
        <v>59</v>
      </c>
      <c r="B1" s="13" t="s">
        <v>60</v>
      </c>
      <c r="C1" s="13" t="s">
        <v>61</v>
      </c>
      <c r="D1" s="13" t="s">
        <v>62</v>
      </c>
      <c r="E1" s="13" t="s">
        <v>63</v>
      </c>
      <c r="F1" s="13" t="s">
        <v>64</v>
      </c>
      <c r="G1" s="13" t="s">
        <v>65</v>
      </c>
      <c r="H1" s="13" t="s">
        <v>66</v>
      </c>
      <c r="I1" s="13" t="s">
        <v>349</v>
      </c>
      <c r="J1" s="13" t="s">
        <v>68</v>
      </c>
      <c r="K1" s="13" t="s">
        <v>350</v>
      </c>
      <c r="L1" s="13" t="s">
        <v>351</v>
      </c>
      <c r="M1" s="13" t="s">
        <v>71</v>
      </c>
      <c r="N1" s="13" t="s">
        <v>72</v>
      </c>
      <c r="O1" s="13" t="s">
        <v>352</v>
      </c>
      <c r="P1" s="13" t="s">
        <v>27</v>
      </c>
      <c r="Q1" s="13" t="s">
        <v>30</v>
      </c>
      <c r="R1" s="13" t="s">
        <v>353</v>
      </c>
      <c r="S1" s="13" t="s">
        <v>354</v>
      </c>
      <c r="T1" s="13" t="s">
        <v>355</v>
      </c>
      <c r="U1" s="13" t="s">
        <v>356</v>
      </c>
      <c r="V1" s="13" t="s">
        <v>357</v>
      </c>
      <c r="W1" s="13" t="s">
        <v>358</v>
      </c>
    </row>
    <row r="2" ht="76" customHeight="1" spans="1:23" s="7" customFormat="1" x14ac:dyDescent="0.25">
      <c r="A2" s="7">
        <v>1</v>
      </c>
      <c r="B2" s="8" t="s">
        <v>359</v>
      </c>
      <c r="C2" s="7" t="s">
        <v>80</v>
      </c>
      <c r="D2" s="7" t="s">
        <v>360</v>
      </c>
      <c r="E2" s="7" t="s">
        <v>361</v>
      </c>
      <c r="F2" s="7" t="s">
        <v>362</v>
      </c>
      <c r="G2" s="7" t="s">
        <v>363</v>
      </c>
      <c r="H2" s="7" t="s">
        <v>364</v>
      </c>
      <c r="I2" s="7" t="s">
        <v>365</v>
      </c>
      <c r="J2" s="7" t="s">
        <v>366</v>
      </c>
      <c r="K2" s="7" t="s">
        <v>367</v>
      </c>
      <c r="L2" s="7" t="s">
        <v>368</v>
      </c>
      <c r="M2" s="14" t="s">
        <v>369</v>
      </c>
      <c r="N2" s="7" t="s">
        <v>370</v>
      </c>
      <c r="O2" s="7" t="s">
        <v>371</v>
      </c>
      <c r="P2" s="7" t="s">
        <v>372</v>
      </c>
      <c r="Q2" s="7" t="s">
        <v>373</v>
      </c>
      <c r="R2" s="15" t="s">
        <v>374</v>
      </c>
      <c r="S2" s="15" t="s">
        <v>99</v>
      </c>
      <c r="T2" s="15" t="s">
        <v>99</v>
      </c>
      <c r="U2" s="15" t="s">
        <v>99</v>
      </c>
      <c r="V2" s="15" t="s">
        <v>99</v>
      </c>
      <c r="W2" s="15" t="s">
        <v>99</v>
      </c>
    </row>
    <row r="3" ht="76" customHeight="1" spans="1:23" s="7" customFormat="1" x14ac:dyDescent="0.25">
      <c r="A3" s="7">
        <v>2</v>
      </c>
      <c r="B3" s="8" t="s">
        <v>375</v>
      </c>
      <c r="C3" s="7" t="s">
        <v>80</v>
      </c>
      <c r="D3" s="7" t="s">
        <v>376</v>
      </c>
      <c r="E3" s="7" t="s">
        <v>377</v>
      </c>
      <c r="F3" s="7" t="s">
        <v>378</v>
      </c>
      <c r="G3" s="7" t="s">
        <v>379</v>
      </c>
      <c r="H3" s="7" t="s">
        <v>380</v>
      </c>
      <c r="I3" s="7" t="s">
        <v>381</v>
      </c>
      <c r="J3" s="7" t="s">
        <v>382</v>
      </c>
      <c r="K3" s="7" t="s">
        <v>383</v>
      </c>
      <c r="L3" s="7" t="s">
        <v>384</v>
      </c>
      <c r="M3" s="10" t="s">
        <v>90</v>
      </c>
      <c r="N3" s="7" t="s">
        <v>91</v>
      </c>
      <c r="O3" s="7" t="s">
        <v>385</v>
      </c>
      <c r="P3" s="7" t="s">
        <v>372</v>
      </c>
      <c r="Q3" s="7" t="s">
        <v>386</v>
      </c>
      <c r="R3" s="15" t="s">
        <v>374</v>
      </c>
      <c r="S3" s="15" t="s">
        <v>99</v>
      </c>
      <c r="T3" s="15" t="s">
        <v>99</v>
      </c>
      <c r="U3" s="15" t="s">
        <v>99</v>
      </c>
      <c r="V3" s="15" t="s">
        <v>99</v>
      </c>
      <c r="W3" s="15" t="s">
        <v>99</v>
      </c>
    </row>
    <row r="4" ht="76" customHeight="1" spans="1:23" s="7" customFormat="1" x14ac:dyDescent="0.25">
      <c r="A4" s="7">
        <v>3</v>
      </c>
      <c r="B4" s="8" t="s">
        <v>387</v>
      </c>
      <c r="C4" s="7" t="s">
        <v>80</v>
      </c>
      <c r="D4" s="7" t="s">
        <v>388</v>
      </c>
      <c r="E4" s="7" t="s">
        <v>389</v>
      </c>
      <c r="F4" s="7" t="s">
        <v>390</v>
      </c>
      <c r="G4" s="7" t="s">
        <v>391</v>
      </c>
      <c r="H4" s="7" t="s">
        <v>392</v>
      </c>
      <c r="I4" s="7" t="s">
        <v>393</v>
      </c>
      <c r="J4" s="7" t="s">
        <v>394</v>
      </c>
      <c r="K4" s="7" t="s">
        <v>395</v>
      </c>
      <c r="L4" s="7" t="s">
        <v>396</v>
      </c>
      <c r="M4" s="10" t="s">
        <v>90</v>
      </c>
      <c r="N4" s="7" t="s">
        <v>91</v>
      </c>
      <c r="O4" s="7" t="s">
        <v>397</v>
      </c>
      <c r="P4" s="7" t="s">
        <v>398</v>
      </c>
      <c r="Q4" s="7" t="s">
        <v>399</v>
      </c>
      <c r="R4" s="15" t="s">
        <v>374</v>
      </c>
      <c r="S4" s="15" t="s">
        <v>99</v>
      </c>
      <c r="T4" s="15" t="s">
        <v>99</v>
      </c>
      <c r="U4" s="15" t="s">
        <v>99</v>
      </c>
      <c r="V4" s="15" t="s">
        <v>99</v>
      </c>
      <c r="W4" s="15" t="s">
        <v>99</v>
      </c>
    </row>
    <row r="5" ht="76" customHeight="1" spans="1:23" s="7" customFormat="1" x14ac:dyDescent="0.25">
      <c r="A5" s="7">
        <v>4</v>
      </c>
      <c r="B5" s="8" t="s">
        <v>400</v>
      </c>
      <c r="C5" s="7" t="s">
        <v>80</v>
      </c>
      <c r="D5" s="7" t="s">
        <v>401</v>
      </c>
      <c r="E5" s="7" t="s">
        <v>402</v>
      </c>
      <c r="F5" s="7" t="s">
        <v>403</v>
      </c>
      <c r="G5" s="7" t="s">
        <v>404</v>
      </c>
      <c r="H5" s="7" t="s">
        <v>405</v>
      </c>
      <c r="I5" s="7" t="s">
        <v>406</v>
      </c>
      <c r="J5" s="7" t="s">
        <v>407</v>
      </c>
      <c r="K5" s="7" t="s">
        <v>408</v>
      </c>
      <c r="L5" s="7" t="s">
        <v>409</v>
      </c>
      <c r="M5" s="14" t="s">
        <v>369</v>
      </c>
      <c r="N5" s="7" t="s">
        <v>370</v>
      </c>
      <c r="O5" s="7" t="s">
        <v>410</v>
      </c>
      <c r="P5" s="7" t="s">
        <v>372</v>
      </c>
      <c r="Q5" s="7" t="s">
        <v>411</v>
      </c>
      <c r="R5" s="15" t="s">
        <v>374</v>
      </c>
      <c r="S5" s="15" t="s">
        <v>99</v>
      </c>
      <c r="T5" s="15" t="s">
        <v>99</v>
      </c>
      <c r="U5" s="15" t="s">
        <v>99</v>
      </c>
      <c r="V5" s="15" t="s">
        <v>99</v>
      </c>
      <c r="W5" s="15" t="s">
        <v>99</v>
      </c>
    </row>
    <row r="6" ht="76" customHeight="1" spans="1:23" s="7" customFormat="1" x14ac:dyDescent="0.25">
      <c r="A6" s="7">
        <v>5</v>
      </c>
      <c r="B6" s="8" t="s">
        <v>412</v>
      </c>
      <c r="C6" s="7" t="s">
        <v>80</v>
      </c>
      <c r="D6" s="7" t="s">
        <v>413</v>
      </c>
      <c r="E6" s="7" t="s">
        <v>414</v>
      </c>
      <c r="F6" s="7" t="s">
        <v>415</v>
      </c>
      <c r="G6" s="7" t="s">
        <v>416</v>
      </c>
      <c r="H6" s="7" t="s">
        <v>417</v>
      </c>
      <c r="I6" s="7" t="s">
        <v>418</v>
      </c>
      <c r="J6" s="7" t="s">
        <v>419</v>
      </c>
      <c r="K6" s="7" t="s">
        <v>420</v>
      </c>
      <c r="L6" s="7" t="s">
        <v>421</v>
      </c>
      <c r="M6" s="14" t="s">
        <v>369</v>
      </c>
      <c r="N6" s="7" t="s">
        <v>370</v>
      </c>
      <c r="O6" s="7" t="s">
        <v>371</v>
      </c>
      <c r="P6" s="7" t="s">
        <v>372</v>
      </c>
      <c r="Q6" s="7" t="s">
        <v>422</v>
      </c>
      <c r="R6" s="15" t="s">
        <v>374</v>
      </c>
      <c r="S6" s="15" t="s">
        <v>99</v>
      </c>
      <c r="T6" s="15" t="s">
        <v>99</v>
      </c>
      <c r="U6" s="15" t="s">
        <v>99</v>
      </c>
      <c r="V6" s="15" t="s">
        <v>99</v>
      </c>
      <c r="W6" s="15" t="s">
        <v>99</v>
      </c>
    </row>
    <row r="7" ht="76" customHeight="1" spans="1:23" s="7" customFormat="1" x14ac:dyDescent="0.25">
      <c r="A7" s="7">
        <v>6</v>
      </c>
      <c r="B7" s="8" t="s">
        <v>423</v>
      </c>
      <c r="C7" s="7" t="s">
        <v>80</v>
      </c>
      <c r="D7" s="7" t="s">
        <v>424</v>
      </c>
      <c r="E7" s="7" t="s">
        <v>425</v>
      </c>
      <c r="F7" s="7" t="s">
        <v>426</v>
      </c>
      <c r="G7" s="7" t="s">
        <v>427</v>
      </c>
      <c r="H7" s="7" t="s">
        <v>428</v>
      </c>
      <c r="I7" s="7" t="s">
        <v>429</v>
      </c>
      <c r="J7" s="7" t="s">
        <v>430</v>
      </c>
      <c r="K7" s="7" t="s">
        <v>367</v>
      </c>
      <c r="L7" s="7" t="s">
        <v>431</v>
      </c>
      <c r="M7" s="14" t="s">
        <v>369</v>
      </c>
      <c r="N7" s="7" t="s">
        <v>370</v>
      </c>
      <c r="O7" s="7" t="s">
        <v>371</v>
      </c>
      <c r="P7" s="7" t="s">
        <v>398</v>
      </c>
      <c r="Q7" s="7" t="s">
        <v>432</v>
      </c>
      <c r="R7" s="15" t="s">
        <v>374</v>
      </c>
      <c r="S7" s="15" t="s">
        <v>99</v>
      </c>
      <c r="T7" s="15" t="s">
        <v>99</v>
      </c>
      <c r="U7" s="15" t="s">
        <v>99</v>
      </c>
      <c r="V7" s="15" t="s">
        <v>99</v>
      </c>
      <c r="W7" s="15" t="s">
        <v>99</v>
      </c>
    </row>
    <row r="8" ht="76" customHeight="1" spans="1:23" s="7" customFormat="1" x14ac:dyDescent="0.25">
      <c r="A8" s="7">
        <v>7</v>
      </c>
      <c r="B8" s="8" t="s">
        <v>433</v>
      </c>
      <c r="C8" s="7" t="s">
        <v>80</v>
      </c>
      <c r="D8" s="7" t="s">
        <v>434</v>
      </c>
      <c r="E8" s="7" t="s">
        <v>435</v>
      </c>
      <c r="F8" s="7" t="s">
        <v>436</v>
      </c>
      <c r="G8" s="7" t="s">
        <v>437</v>
      </c>
      <c r="H8" s="7" t="s">
        <v>438</v>
      </c>
      <c r="I8" s="7" t="s">
        <v>439</v>
      </c>
      <c r="J8" s="7" t="s">
        <v>440</v>
      </c>
      <c r="K8" s="7" t="s">
        <v>441</v>
      </c>
      <c r="L8" s="7" t="s">
        <v>442</v>
      </c>
      <c r="M8" s="10" t="s">
        <v>90</v>
      </c>
      <c r="N8" s="7" t="s">
        <v>91</v>
      </c>
      <c r="O8" s="7" t="s">
        <v>443</v>
      </c>
      <c r="P8" s="7" t="s">
        <v>398</v>
      </c>
      <c r="Q8" s="7" t="s">
        <v>444</v>
      </c>
      <c r="R8" s="15" t="s">
        <v>374</v>
      </c>
      <c r="S8" s="15" t="s">
        <v>99</v>
      </c>
      <c r="T8" s="15" t="s">
        <v>99</v>
      </c>
      <c r="U8" s="15" t="s">
        <v>99</v>
      </c>
      <c r="V8" s="15" t="s">
        <v>99</v>
      </c>
      <c r="W8" s="15" t="s">
        <v>99</v>
      </c>
    </row>
    <row r="9" ht="76" customHeight="1" spans="1:23" s="7" customFormat="1" x14ac:dyDescent="0.25">
      <c r="A9" s="7">
        <v>8</v>
      </c>
      <c r="B9" s="8" t="s">
        <v>445</v>
      </c>
      <c r="C9" s="7" t="s">
        <v>80</v>
      </c>
      <c r="D9" s="7" t="s">
        <v>446</v>
      </c>
      <c r="E9" s="7" t="s">
        <v>447</v>
      </c>
      <c r="F9" s="7" t="s">
        <v>448</v>
      </c>
      <c r="G9" s="7" t="s">
        <v>449</v>
      </c>
      <c r="H9" s="7" t="s">
        <v>450</v>
      </c>
      <c r="I9" s="7" t="s">
        <v>451</v>
      </c>
      <c r="J9" s="7" t="s">
        <v>452</v>
      </c>
      <c r="K9" s="7" t="s">
        <v>453</v>
      </c>
      <c r="L9" s="7" t="s">
        <v>454</v>
      </c>
      <c r="M9" s="14" t="s">
        <v>369</v>
      </c>
      <c r="N9" s="7" t="s">
        <v>91</v>
      </c>
      <c r="O9" s="7" t="s">
        <v>455</v>
      </c>
      <c r="P9" s="7" t="s">
        <v>398</v>
      </c>
      <c r="Q9" s="7" t="s">
        <v>456</v>
      </c>
      <c r="R9" s="15" t="s">
        <v>374</v>
      </c>
      <c r="S9" s="15" t="s">
        <v>99</v>
      </c>
      <c r="T9" s="15" t="s">
        <v>99</v>
      </c>
      <c r="U9" s="15" t="s">
        <v>99</v>
      </c>
      <c r="V9" s="15" t="s">
        <v>99</v>
      </c>
      <c r="W9" s="15" t="s">
        <v>99</v>
      </c>
    </row>
    <row r="10" ht="76" customHeight="1" spans="1:23" s="7" customFormat="1" x14ac:dyDescent="0.25">
      <c r="A10" s="7">
        <v>9</v>
      </c>
      <c r="B10" s="8" t="s">
        <v>457</v>
      </c>
      <c r="C10" s="7" t="s">
        <v>80</v>
      </c>
      <c r="D10" s="7" t="s">
        <v>458</v>
      </c>
      <c r="E10" s="7" t="s">
        <v>459</v>
      </c>
      <c r="F10" s="7" t="s">
        <v>460</v>
      </c>
      <c r="G10" s="7" t="s">
        <v>461</v>
      </c>
      <c r="H10" s="7" t="s">
        <v>462</v>
      </c>
      <c r="I10" s="7" t="s">
        <v>463</v>
      </c>
      <c r="J10" s="7" t="s">
        <v>464</v>
      </c>
      <c r="K10" s="7" t="s">
        <v>465</v>
      </c>
      <c r="L10" s="7" t="s">
        <v>466</v>
      </c>
      <c r="M10" s="10" t="s">
        <v>90</v>
      </c>
      <c r="N10" s="7" t="s">
        <v>91</v>
      </c>
      <c r="O10" s="7" t="s">
        <v>371</v>
      </c>
      <c r="P10" s="7" t="s">
        <v>467</v>
      </c>
      <c r="Q10" s="7" t="s">
        <v>468</v>
      </c>
      <c r="R10" s="15" t="s">
        <v>374</v>
      </c>
      <c r="S10" s="15" t="s">
        <v>99</v>
      </c>
      <c r="T10" s="15" t="s">
        <v>99</v>
      </c>
      <c r="U10" s="15" t="s">
        <v>99</v>
      </c>
      <c r="V10" s="15" t="s">
        <v>99</v>
      </c>
      <c r="W10" s="15" t="s">
        <v>99</v>
      </c>
    </row>
    <row r="11" ht="76" customHeight="1" spans="1:23" s="7" customFormat="1" x14ac:dyDescent="0.25">
      <c r="A11" s="7">
        <v>10</v>
      </c>
      <c r="B11" s="8" t="s">
        <v>469</v>
      </c>
      <c r="C11" s="7" t="s">
        <v>80</v>
      </c>
      <c r="D11" s="7" t="s">
        <v>470</v>
      </c>
      <c r="E11" s="7" t="s">
        <v>471</v>
      </c>
      <c r="F11" s="7" t="s">
        <v>472</v>
      </c>
      <c r="G11" s="7" t="s">
        <v>473</v>
      </c>
      <c r="H11" s="7" t="s">
        <v>474</v>
      </c>
      <c r="I11" s="7" t="s">
        <v>475</v>
      </c>
      <c r="J11" s="7" t="s">
        <v>476</v>
      </c>
      <c r="K11" s="7" t="s">
        <v>477</v>
      </c>
      <c r="L11" s="7" t="s">
        <v>478</v>
      </c>
      <c r="M11" s="14" t="s">
        <v>369</v>
      </c>
      <c r="N11" s="7" t="s">
        <v>370</v>
      </c>
      <c r="O11" s="7" t="s">
        <v>371</v>
      </c>
      <c r="P11" s="7" t="s">
        <v>372</v>
      </c>
      <c r="Q11" s="7" t="s">
        <v>479</v>
      </c>
      <c r="R11" s="15" t="s">
        <v>374</v>
      </c>
      <c r="S11" s="15" t="s">
        <v>99</v>
      </c>
      <c r="T11" s="15" t="s">
        <v>99</v>
      </c>
      <c r="U11" s="15" t="s">
        <v>99</v>
      </c>
      <c r="V11" s="15" t="s">
        <v>99</v>
      </c>
      <c r="W11" s="15" t="s">
        <v>99</v>
      </c>
    </row>
    <row r="12" ht="76" customHeight="1" spans="1:23" s="7" customFormat="1" x14ac:dyDescent="0.25">
      <c r="A12" s="7">
        <v>11</v>
      </c>
      <c r="B12" s="8" t="s">
        <v>480</v>
      </c>
      <c r="C12" s="7" t="s">
        <v>80</v>
      </c>
      <c r="D12" s="7" t="s">
        <v>481</v>
      </c>
      <c r="E12" s="7" t="s">
        <v>482</v>
      </c>
      <c r="F12" s="7" t="s">
        <v>483</v>
      </c>
      <c r="G12" s="7" t="s">
        <v>484</v>
      </c>
      <c r="H12" s="7" t="s">
        <v>485</v>
      </c>
      <c r="I12" s="7" t="s">
        <v>486</v>
      </c>
      <c r="J12" s="7" t="s">
        <v>487</v>
      </c>
      <c r="K12" s="7" t="s">
        <v>223</v>
      </c>
      <c r="L12" s="7" t="s">
        <v>488</v>
      </c>
      <c r="M12" s="10" t="s">
        <v>90</v>
      </c>
      <c r="N12" s="7" t="s">
        <v>91</v>
      </c>
      <c r="O12" s="7" t="s">
        <v>371</v>
      </c>
      <c r="P12" s="7" t="s">
        <v>398</v>
      </c>
      <c r="Q12" s="7" t="s">
        <v>489</v>
      </c>
      <c r="R12" s="15" t="s">
        <v>374</v>
      </c>
      <c r="S12" s="15" t="s">
        <v>99</v>
      </c>
      <c r="T12" s="15" t="s">
        <v>99</v>
      </c>
      <c r="U12" s="15" t="s">
        <v>99</v>
      </c>
      <c r="V12" s="15" t="s">
        <v>99</v>
      </c>
      <c r="W12" s="15" t="s">
        <v>99</v>
      </c>
    </row>
    <row r="13" ht="76" customHeight="1" spans="1:23" s="7" customFormat="1" x14ac:dyDescent="0.25">
      <c r="A13" s="7">
        <v>12</v>
      </c>
      <c r="B13" s="8" t="s">
        <v>490</v>
      </c>
      <c r="C13" s="7" t="s">
        <v>80</v>
      </c>
      <c r="D13" s="7" t="s">
        <v>491</v>
      </c>
      <c r="E13" s="7" t="s">
        <v>492</v>
      </c>
      <c r="F13" s="7" t="s">
        <v>493</v>
      </c>
      <c r="G13" s="7" t="s">
        <v>494</v>
      </c>
      <c r="H13" s="7" t="s">
        <v>495</v>
      </c>
      <c r="I13" s="7" t="s">
        <v>496</v>
      </c>
      <c r="J13" s="7" t="s">
        <v>497</v>
      </c>
      <c r="K13" s="7" t="s">
        <v>223</v>
      </c>
      <c r="L13" s="7" t="s">
        <v>498</v>
      </c>
      <c r="M13" s="10" t="s">
        <v>90</v>
      </c>
      <c r="N13" s="7" t="s">
        <v>91</v>
      </c>
      <c r="O13" s="7" t="s">
        <v>371</v>
      </c>
      <c r="P13" s="7" t="s">
        <v>398</v>
      </c>
      <c r="Q13" s="7" t="s">
        <v>489</v>
      </c>
      <c r="R13" s="15" t="s">
        <v>374</v>
      </c>
      <c r="S13" s="15" t="s">
        <v>99</v>
      </c>
      <c r="T13" s="15" t="s">
        <v>99</v>
      </c>
      <c r="U13" s="15" t="s">
        <v>99</v>
      </c>
      <c r="V13" s="15" t="s">
        <v>99</v>
      </c>
      <c r="W13" s="15" t="s">
        <v>99</v>
      </c>
    </row>
    <row r="14" ht="76" customHeight="1" spans="1:23" s="7" customFormat="1" x14ac:dyDescent="0.25">
      <c r="A14" s="7">
        <v>13</v>
      </c>
      <c r="B14" s="8" t="s">
        <v>499</v>
      </c>
      <c r="C14" s="7" t="s">
        <v>80</v>
      </c>
      <c r="D14" s="7" t="s">
        <v>500</v>
      </c>
      <c r="E14" s="7" t="s">
        <v>501</v>
      </c>
      <c r="F14" s="7" t="s">
        <v>502</v>
      </c>
      <c r="G14" s="7" t="s">
        <v>503</v>
      </c>
      <c r="H14" s="7" t="s">
        <v>504</v>
      </c>
      <c r="I14" s="7" t="s">
        <v>505</v>
      </c>
      <c r="J14" s="7" t="s">
        <v>506</v>
      </c>
      <c r="K14" s="7" t="s">
        <v>507</v>
      </c>
      <c r="L14" s="7" t="s">
        <v>508</v>
      </c>
      <c r="M14" s="10" t="s">
        <v>90</v>
      </c>
      <c r="N14" s="7" t="s">
        <v>91</v>
      </c>
      <c r="O14" s="7" t="s">
        <v>371</v>
      </c>
      <c r="P14" s="7" t="s">
        <v>372</v>
      </c>
      <c r="Q14" s="7" t="s">
        <v>509</v>
      </c>
      <c r="R14" s="15" t="s">
        <v>374</v>
      </c>
      <c r="S14" s="15" t="s">
        <v>99</v>
      </c>
      <c r="T14" s="15" t="s">
        <v>99</v>
      </c>
      <c r="U14" s="15" t="s">
        <v>99</v>
      </c>
      <c r="V14" s="15" t="s">
        <v>99</v>
      </c>
      <c r="W14" s="15" t="s">
        <v>99</v>
      </c>
    </row>
    <row r="15" ht="76" customHeight="1" spans="1:23" s="7" customFormat="1" x14ac:dyDescent="0.25">
      <c r="A15" s="7">
        <v>14</v>
      </c>
      <c r="B15" s="8" t="s">
        <v>510</v>
      </c>
      <c r="C15" s="7" t="s">
        <v>80</v>
      </c>
      <c r="D15" s="7" t="s">
        <v>511</v>
      </c>
      <c r="E15" s="7" t="s">
        <v>512</v>
      </c>
      <c r="F15" s="7" t="s">
        <v>513</v>
      </c>
      <c r="G15" s="7" t="s">
        <v>514</v>
      </c>
      <c r="H15" s="7" t="s">
        <v>515</v>
      </c>
      <c r="I15" s="7" t="s">
        <v>516</v>
      </c>
      <c r="J15" s="7" t="s">
        <v>517</v>
      </c>
      <c r="K15" s="7" t="s">
        <v>518</v>
      </c>
      <c r="L15" s="7" t="s">
        <v>519</v>
      </c>
      <c r="M15" s="10" t="s">
        <v>90</v>
      </c>
      <c r="N15" s="7" t="s">
        <v>91</v>
      </c>
      <c r="O15" s="7" t="s">
        <v>371</v>
      </c>
      <c r="P15" s="7" t="s">
        <v>398</v>
      </c>
      <c r="Q15" s="7" t="s">
        <v>520</v>
      </c>
      <c r="R15" s="15" t="s">
        <v>374</v>
      </c>
      <c r="S15" s="15" t="s">
        <v>99</v>
      </c>
      <c r="T15" s="15" t="s">
        <v>99</v>
      </c>
      <c r="U15" s="15" t="s">
        <v>99</v>
      </c>
      <c r="V15" s="15" t="s">
        <v>99</v>
      </c>
      <c r="W15" s="15" t="s">
        <v>99</v>
      </c>
    </row>
    <row r="16" ht="76" customHeight="1" spans="1:23" s="7" customFormat="1" x14ac:dyDescent="0.25">
      <c r="A16" s="7">
        <v>15</v>
      </c>
      <c r="B16" s="8" t="s">
        <v>521</v>
      </c>
      <c r="C16" s="7" t="s">
        <v>80</v>
      </c>
      <c r="D16" s="7" t="s">
        <v>522</v>
      </c>
      <c r="E16" s="7" t="s">
        <v>523</v>
      </c>
      <c r="F16" s="7" t="s">
        <v>524</v>
      </c>
      <c r="G16" s="7" t="s">
        <v>525</v>
      </c>
      <c r="H16" s="7" t="s">
        <v>526</v>
      </c>
      <c r="I16" s="7" t="s">
        <v>527</v>
      </c>
      <c r="J16" s="7" t="s">
        <v>528</v>
      </c>
      <c r="K16" s="7" t="s">
        <v>529</v>
      </c>
      <c r="L16" s="7" t="s">
        <v>530</v>
      </c>
      <c r="M16" s="10" t="s">
        <v>90</v>
      </c>
      <c r="N16" s="7" t="s">
        <v>91</v>
      </c>
      <c r="O16" s="7" t="s">
        <v>371</v>
      </c>
      <c r="P16" s="7" t="s">
        <v>398</v>
      </c>
      <c r="Q16" s="7" t="s">
        <v>531</v>
      </c>
      <c r="R16" s="15" t="s">
        <v>374</v>
      </c>
      <c r="S16" s="15" t="s">
        <v>99</v>
      </c>
      <c r="T16" s="15" t="s">
        <v>99</v>
      </c>
      <c r="U16" s="15" t="s">
        <v>99</v>
      </c>
      <c r="V16" s="15" t="s">
        <v>99</v>
      </c>
      <c r="W16" s="15" t="s">
        <v>99</v>
      </c>
    </row>
    <row r="17" ht="76" customHeight="1" spans="1:23" s="7" customFormat="1" x14ac:dyDescent="0.25">
      <c r="A17" s="7">
        <v>16</v>
      </c>
      <c r="B17" s="8" t="s">
        <v>532</v>
      </c>
      <c r="C17" s="7" t="s">
        <v>80</v>
      </c>
      <c r="D17" s="7" t="s">
        <v>533</v>
      </c>
      <c r="E17" s="7" t="s">
        <v>534</v>
      </c>
      <c r="F17" s="7" t="s">
        <v>535</v>
      </c>
      <c r="G17" s="7" t="s">
        <v>536</v>
      </c>
      <c r="H17" s="7" t="s">
        <v>537</v>
      </c>
      <c r="I17" s="7" t="s">
        <v>538</v>
      </c>
      <c r="J17" s="7" t="s">
        <v>539</v>
      </c>
      <c r="K17" s="7" t="s">
        <v>540</v>
      </c>
      <c r="L17" s="7" t="s">
        <v>541</v>
      </c>
      <c r="M17" s="14" t="s">
        <v>369</v>
      </c>
      <c r="N17" s="7" t="s">
        <v>370</v>
      </c>
      <c r="O17" s="7" t="s">
        <v>371</v>
      </c>
      <c r="P17" s="7" t="s">
        <v>398</v>
      </c>
      <c r="Q17" s="7" t="s">
        <v>542</v>
      </c>
      <c r="R17" s="15" t="s">
        <v>374</v>
      </c>
      <c r="S17" s="15" t="s">
        <v>99</v>
      </c>
      <c r="T17" s="15" t="s">
        <v>99</v>
      </c>
      <c r="U17" s="15" t="s">
        <v>99</v>
      </c>
      <c r="V17" s="15" t="s">
        <v>99</v>
      </c>
      <c r="W17" s="15" t="s">
        <v>99</v>
      </c>
    </row>
    <row r="18" ht="76" customHeight="1" spans="1:23" s="7" customFormat="1" x14ac:dyDescent="0.25">
      <c r="A18" s="7">
        <v>17</v>
      </c>
      <c r="B18" s="8" t="s">
        <v>543</v>
      </c>
      <c r="C18" s="7" t="s">
        <v>80</v>
      </c>
      <c r="D18" s="7" t="s">
        <v>544</v>
      </c>
      <c r="E18" s="7" t="s">
        <v>545</v>
      </c>
      <c r="F18" s="7" t="s">
        <v>546</v>
      </c>
      <c r="G18" s="7" t="s">
        <v>547</v>
      </c>
      <c r="H18" s="7" t="s">
        <v>548</v>
      </c>
      <c r="I18" s="7" t="s">
        <v>549</v>
      </c>
      <c r="J18" s="7" t="s">
        <v>550</v>
      </c>
      <c r="K18" s="7" t="s">
        <v>551</v>
      </c>
      <c r="L18" s="7" t="s">
        <v>552</v>
      </c>
      <c r="M18" s="14" t="s">
        <v>369</v>
      </c>
      <c r="N18" s="7" t="s">
        <v>370</v>
      </c>
      <c r="O18" s="7" t="s">
        <v>371</v>
      </c>
      <c r="P18" s="7" t="s">
        <v>553</v>
      </c>
      <c r="Q18" s="7" t="s">
        <v>554</v>
      </c>
      <c r="R18" s="15" t="s">
        <v>374</v>
      </c>
      <c r="S18" s="15" t="s">
        <v>99</v>
      </c>
      <c r="T18" s="15" t="s">
        <v>99</v>
      </c>
      <c r="U18" s="15" t="s">
        <v>99</v>
      </c>
      <c r="V18" s="15" t="s">
        <v>99</v>
      </c>
      <c r="W18" s="15" t="s">
        <v>99</v>
      </c>
    </row>
    <row r="19" ht="76" customHeight="1" spans="1:23" s="7" customFormat="1" x14ac:dyDescent="0.25">
      <c r="A19" s="7">
        <v>18</v>
      </c>
      <c r="B19" s="8" t="s">
        <v>555</v>
      </c>
      <c r="C19" s="7" t="s">
        <v>80</v>
      </c>
      <c r="D19" s="7" t="s">
        <v>556</v>
      </c>
      <c r="E19" s="7" t="s">
        <v>557</v>
      </c>
      <c r="F19" s="7" t="s">
        <v>558</v>
      </c>
      <c r="G19" s="7" t="s">
        <v>559</v>
      </c>
      <c r="H19" s="7" t="s">
        <v>560</v>
      </c>
      <c r="I19" s="7" t="s">
        <v>561</v>
      </c>
      <c r="J19" s="7" t="s">
        <v>562</v>
      </c>
      <c r="K19" s="7" t="s">
        <v>563</v>
      </c>
      <c r="L19" s="7" t="s">
        <v>564</v>
      </c>
      <c r="M19" s="14" t="s">
        <v>369</v>
      </c>
      <c r="N19" s="7" t="s">
        <v>91</v>
      </c>
      <c r="O19" s="7" t="s">
        <v>371</v>
      </c>
      <c r="P19" s="7" t="s">
        <v>398</v>
      </c>
      <c r="Q19" s="7" t="s">
        <v>565</v>
      </c>
      <c r="R19" s="15" t="s">
        <v>374</v>
      </c>
      <c r="S19" s="15" t="s">
        <v>99</v>
      </c>
      <c r="T19" s="15" t="s">
        <v>99</v>
      </c>
      <c r="U19" s="15" t="s">
        <v>99</v>
      </c>
      <c r="V19" s="15" t="s">
        <v>99</v>
      </c>
      <c r="W19" s="15" t="s">
        <v>99</v>
      </c>
    </row>
    <row r="20" ht="76" customHeight="1" spans="1:23" s="7" customFormat="1" x14ac:dyDescent="0.25">
      <c r="A20" s="7">
        <v>19</v>
      </c>
      <c r="B20" s="8" t="s">
        <v>566</v>
      </c>
      <c r="C20" s="7" t="s">
        <v>80</v>
      </c>
      <c r="D20" s="7" t="s">
        <v>567</v>
      </c>
      <c r="E20" s="7" t="s">
        <v>568</v>
      </c>
      <c r="F20" s="7" t="s">
        <v>569</v>
      </c>
      <c r="G20" s="7" t="s">
        <v>570</v>
      </c>
      <c r="H20" s="7" t="s">
        <v>571</v>
      </c>
      <c r="I20" s="7" t="s">
        <v>572</v>
      </c>
      <c r="J20" s="7" t="s">
        <v>573</v>
      </c>
      <c r="K20" s="7" t="s">
        <v>574</v>
      </c>
      <c r="L20" s="7" t="s">
        <v>575</v>
      </c>
      <c r="M20" s="10" t="s">
        <v>90</v>
      </c>
      <c r="N20" s="7" t="s">
        <v>91</v>
      </c>
      <c r="O20" s="7" t="s">
        <v>576</v>
      </c>
      <c r="P20" s="7" t="s">
        <v>372</v>
      </c>
      <c r="Q20" s="7" t="s">
        <v>577</v>
      </c>
      <c r="R20" s="15" t="s">
        <v>374</v>
      </c>
      <c r="S20" s="15" t="s">
        <v>99</v>
      </c>
      <c r="T20" s="15" t="s">
        <v>99</v>
      </c>
      <c r="U20" s="15" t="s">
        <v>99</v>
      </c>
      <c r="V20" s="15" t="s">
        <v>99</v>
      </c>
      <c r="W20" s="15" t="s">
        <v>99</v>
      </c>
    </row>
    <row r="21" ht="76" customHeight="1" spans="1:23" s="7" customFormat="1" x14ac:dyDescent="0.25">
      <c r="A21" s="7">
        <v>20</v>
      </c>
      <c r="B21" s="8" t="s">
        <v>578</v>
      </c>
      <c r="C21" s="7" t="s">
        <v>80</v>
      </c>
      <c r="D21" s="7" t="s">
        <v>567</v>
      </c>
      <c r="E21" s="7" t="s">
        <v>579</v>
      </c>
      <c r="F21" s="7" t="s">
        <v>580</v>
      </c>
      <c r="G21" s="7" t="s">
        <v>581</v>
      </c>
      <c r="H21" s="7" t="s">
        <v>582</v>
      </c>
      <c r="I21" s="7" t="s">
        <v>583</v>
      </c>
      <c r="J21" s="7" t="s">
        <v>584</v>
      </c>
      <c r="K21" s="7" t="s">
        <v>395</v>
      </c>
      <c r="L21" s="7" t="s">
        <v>585</v>
      </c>
      <c r="M21" s="10" t="s">
        <v>90</v>
      </c>
      <c r="N21" s="7" t="s">
        <v>91</v>
      </c>
      <c r="O21" s="7" t="s">
        <v>397</v>
      </c>
      <c r="P21" s="7" t="s">
        <v>372</v>
      </c>
      <c r="Q21" s="7" t="s">
        <v>586</v>
      </c>
      <c r="R21" s="15" t="s">
        <v>374</v>
      </c>
      <c r="S21" s="15" t="s">
        <v>99</v>
      </c>
      <c r="T21" s="15" t="s">
        <v>99</v>
      </c>
      <c r="U21" s="15" t="s">
        <v>99</v>
      </c>
      <c r="V21" s="15" t="s">
        <v>99</v>
      </c>
      <c r="W21" s="15" t="s">
        <v>99</v>
      </c>
    </row>
    <row r="22" ht="76" customHeight="1" spans="1:23" s="7" customFormat="1" x14ac:dyDescent="0.25">
      <c r="A22" s="7">
        <v>21</v>
      </c>
      <c r="B22" s="8" t="s">
        <v>587</v>
      </c>
      <c r="C22" s="7" t="s">
        <v>80</v>
      </c>
      <c r="D22" s="7" t="s">
        <v>588</v>
      </c>
      <c r="E22" s="7" t="s">
        <v>589</v>
      </c>
      <c r="F22" s="7" t="s">
        <v>590</v>
      </c>
      <c r="G22" s="7" t="s">
        <v>591</v>
      </c>
      <c r="H22" s="7" t="s">
        <v>592</v>
      </c>
      <c r="I22" s="7" t="s">
        <v>593</v>
      </c>
      <c r="J22" s="7" t="s">
        <v>594</v>
      </c>
      <c r="K22" s="7" t="s">
        <v>595</v>
      </c>
      <c r="L22" s="7" t="s">
        <v>596</v>
      </c>
      <c r="M22" s="10" t="s">
        <v>90</v>
      </c>
      <c r="N22" s="7" t="s">
        <v>91</v>
      </c>
      <c r="O22" s="7" t="s">
        <v>371</v>
      </c>
      <c r="P22" s="7" t="s">
        <v>398</v>
      </c>
      <c r="Q22" s="7" t="s">
        <v>597</v>
      </c>
      <c r="R22" s="15" t="s">
        <v>374</v>
      </c>
      <c r="S22" s="15" t="s">
        <v>99</v>
      </c>
      <c r="T22" s="15" t="s">
        <v>99</v>
      </c>
      <c r="U22" s="15" t="s">
        <v>99</v>
      </c>
      <c r="V22" s="15" t="s">
        <v>99</v>
      </c>
      <c r="W22" s="15" t="s">
        <v>99</v>
      </c>
    </row>
    <row r="23" ht="76" customHeight="1" spans="1:23" s="7" customFormat="1" x14ac:dyDescent="0.25">
      <c r="A23" s="7">
        <v>22</v>
      </c>
      <c r="B23" s="8" t="s">
        <v>598</v>
      </c>
      <c r="C23" s="7" t="s">
        <v>80</v>
      </c>
      <c r="D23" s="7" t="s">
        <v>599</v>
      </c>
      <c r="E23" s="7" t="s">
        <v>600</v>
      </c>
      <c r="F23" s="7" t="s">
        <v>601</v>
      </c>
      <c r="G23" s="7" t="s">
        <v>602</v>
      </c>
      <c r="H23" s="7" t="s">
        <v>603</v>
      </c>
      <c r="I23" s="7" t="s">
        <v>604</v>
      </c>
      <c r="J23" s="7" t="s">
        <v>605</v>
      </c>
      <c r="K23" s="7" t="s">
        <v>563</v>
      </c>
      <c r="L23" s="7" t="s">
        <v>606</v>
      </c>
      <c r="M23" s="14" t="s">
        <v>369</v>
      </c>
      <c r="N23" s="7" t="s">
        <v>91</v>
      </c>
      <c r="O23" s="7" t="s">
        <v>371</v>
      </c>
      <c r="P23" s="7" t="s">
        <v>372</v>
      </c>
      <c r="Q23" s="7" t="s">
        <v>607</v>
      </c>
      <c r="R23" s="15" t="s">
        <v>374</v>
      </c>
      <c r="S23" s="15" t="s">
        <v>99</v>
      </c>
      <c r="T23" s="15" t="s">
        <v>99</v>
      </c>
      <c r="U23" s="15" t="s">
        <v>99</v>
      </c>
      <c r="V23" s="15" t="s">
        <v>99</v>
      </c>
      <c r="W23" s="15" t="s">
        <v>99</v>
      </c>
    </row>
    <row r="24" ht="76" customHeight="1" spans="1:23" s="7" customFormat="1" x14ac:dyDescent="0.25">
      <c r="A24" s="7">
        <v>23</v>
      </c>
      <c r="B24" s="8" t="s">
        <v>608</v>
      </c>
      <c r="C24" s="7" t="s">
        <v>80</v>
      </c>
      <c r="D24" s="7" t="s">
        <v>609</v>
      </c>
      <c r="E24" s="7" t="s">
        <v>610</v>
      </c>
      <c r="F24" s="7" t="s">
        <v>611</v>
      </c>
      <c r="G24" s="7" t="s">
        <v>612</v>
      </c>
      <c r="H24" s="7" t="s">
        <v>613</v>
      </c>
      <c r="I24" s="7" t="s">
        <v>614</v>
      </c>
      <c r="J24" s="7" t="s">
        <v>615</v>
      </c>
      <c r="K24" s="7" t="s">
        <v>616</v>
      </c>
      <c r="L24" s="7" t="s">
        <v>617</v>
      </c>
      <c r="M24" s="10" t="s">
        <v>90</v>
      </c>
      <c r="N24" s="7" t="s">
        <v>91</v>
      </c>
      <c r="O24" s="7" t="s">
        <v>618</v>
      </c>
      <c r="P24" s="7" t="s">
        <v>398</v>
      </c>
      <c r="Q24" s="7" t="s">
        <v>619</v>
      </c>
      <c r="R24" s="15" t="s">
        <v>374</v>
      </c>
      <c r="S24" s="15" t="s">
        <v>99</v>
      </c>
      <c r="T24" s="15" t="s">
        <v>99</v>
      </c>
      <c r="U24" s="15" t="s">
        <v>99</v>
      </c>
      <c r="V24" s="15" t="s">
        <v>99</v>
      </c>
      <c r="W24" s="15" t="s">
        <v>99</v>
      </c>
    </row>
    <row r="25" ht="76" customHeight="1" spans="1:23" s="7" customFormat="1" x14ac:dyDescent="0.25">
      <c r="A25" s="7">
        <v>24</v>
      </c>
      <c r="B25" s="8" t="s">
        <v>620</v>
      </c>
      <c r="C25" s="7" t="s">
        <v>80</v>
      </c>
      <c r="D25" s="7" t="s">
        <v>621</v>
      </c>
      <c r="E25" s="7" t="s">
        <v>622</v>
      </c>
      <c r="F25" s="7" t="s">
        <v>623</v>
      </c>
      <c r="G25" s="7" t="s">
        <v>624</v>
      </c>
      <c r="H25" s="7" t="s">
        <v>625</v>
      </c>
      <c r="I25" s="7" t="s">
        <v>626</v>
      </c>
      <c r="J25" s="7" t="s">
        <v>627</v>
      </c>
      <c r="K25" s="7" t="s">
        <v>628</v>
      </c>
      <c r="L25" s="7" t="s">
        <v>629</v>
      </c>
      <c r="M25" s="10" t="s">
        <v>90</v>
      </c>
      <c r="N25" s="7" t="s">
        <v>91</v>
      </c>
      <c r="O25" s="7" t="s">
        <v>630</v>
      </c>
      <c r="P25" s="7" t="s">
        <v>372</v>
      </c>
      <c r="Q25" s="7" t="s">
        <v>631</v>
      </c>
      <c r="R25" s="15" t="s">
        <v>374</v>
      </c>
      <c r="S25" s="15" t="s">
        <v>99</v>
      </c>
      <c r="T25" s="15" t="s">
        <v>99</v>
      </c>
      <c r="U25" s="15" t="s">
        <v>99</v>
      </c>
      <c r="V25" s="15" t="s">
        <v>99</v>
      </c>
      <c r="W25" s="15" t="s">
        <v>99</v>
      </c>
    </row>
    <row r="26" ht="76" customHeight="1" spans="1:23" s="7" customFormat="1" x14ac:dyDescent="0.25">
      <c r="A26" s="7">
        <v>25</v>
      </c>
      <c r="B26" s="8" t="s">
        <v>632</v>
      </c>
      <c r="C26" s="7" t="s">
        <v>80</v>
      </c>
      <c r="D26" s="7" t="s">
        <v>633</v>
      </c>
      <c r="E26" s="7" t="s">
        <v>634</v>
      </c>
      <c r="F26" s="7" t="s">
        <v>635</v>
      </c>
      <c r="G26" s="7" t="s">
        <v>636</v>
      </c>
      <c r="H26" s="7" t="s">
        <v>637</v>
      </c>
      <c r="I26" s="7" t="s">
        <v>638</v>
      </c>
      <c r="J26" s="7" t="s">
        <v>639</v>
      </c>
      <c r="K26" s="7" t="s">
        <v>640</v>
      </c>
      <c r="L26" s="7" t="s">
        <v>641</v>
      </c>
      <c r="M26" s="10" t="s">
        <v>90</v>
      </c>
      <c r="N26" s="7" t="s">
        <v>91</v>
      </c>
      <c r="O26" s="7" t="s">
        <v>371</v>
      </c>
      <c r="P26" s="7" t="s">
        <v>553</v>
      </c>
      <c r="Q26" s="7" t="s">
        <v>642</v>
      </c>
      <c r="R26" s="15" t="s">
        <v>374</v>
      </c>
      <c r="S26" s="15" t="s">
        <v>99</v>
      </c>
      <c r="T26" s="15" t="s">
        <v>99</v>
      </c>
      <c r="U26" s="15" t="s">
        <v>99</v>
      </c>
      <c r="V26" s="15" t="s">
        <v>99</v>
      </c>
      <c r="W26" s="15" t="s">
        <v>99</v>
      </c>
    </row>
    <row r="27" ht="76" customHeight="1" spans="1:23" s="7" customFormat="1" x14ac:dyDescent="0.25">
      <c r="A27" s="7">
        <v>26</v>
      </c>
      <c r="B27" s="8" t="s">
        <v>643</v>
      </c>
      <c r="C27" s="7" t="s">
        <v>80</v>
      </c>
      <c r="D27" s="7" t="s">
        <v>644</v>
      </c>
      <c r="E27" s="7" t="s">
        <v>645</v>
      </c>
      <c r="F27" s="7" t="s">
        <v>646</v>
      </c>
      <c r="G27" s="7" t="s">
        <v>647</v>
      </c>
      <c r="H27" s="7" t="s">
        <v>648</v>
      </c>
      <c r="I27" s="7" t="s">
        <v>649</v>
      </c>
      <c r="J27" s="7" t="s">
        <v>650</v>
      </c>
      <c r="K27" s="7" t="s">
        <v>651</v>
      </c>
      <c r="L27" s="7" t="s">
        <v>519</v>
      </c>
      <c r="M27" s="10" t="s">
        <v>90</v>
      </c>
      <c r="N27" s="7" t="s">
        <v>91</v>
      </c>
      <c r="O27" s="7" t="s">
        <v>652</v>
      </c>
      <c r="P27" s="7" t="s">
        <v>398</v>
      </c>
      <c r="Q27" s="7" t="s">
        <v>653</v>
      </c>
      <c r="R27" s="15" t="s">
        <v>374</v>
      </c>
      <c r="S27" s="15" t="s">
        <v>99</v>
      </c>
      <c r="T27" s="15" t="s">
        <v>99</v>
      </c>
      <c r="U27" s="15" t="s">
        <v>99</v>
      </c>
      <c r="V27" s="15" t="s">
        <v>99</v>
      </c>
      <c r="W27" s="15" t="s">
        <v>99</v>
      </c>
    </row>
    <row r="28" ht="76" customHeight="1" spans="1:23" s="7" customFormat="1" x14ac:dyDescent="0.25">
      <c r="A28" s="7">
        <v>27</v>
      </c>
      <c r="B28" s="8" t="s">
        <v>654</v>
      </c>
      <c r="C28" s="7" t="s">
        <v>80</v>
      </c>
      <c r="D28" s="7" t="s">
        <v>655</v>
      </c>
      <c r="E28" s="7" t="s">
        <v>656</v>
      </c>
      <c r="F28" s="7" t="s">
        <v>657</v>
      </c>
      <c r="G28" s="7" t="s">
        <v>658</v>
      </c>
      <c r="H28" s="7" t="s">
        <v>659</v>
      </c>
      <c r="I28" s="7" t="s">
        <v>660</v>
      </c>
      <c r="J28" s="7" t="s">
        <v>661</v>
      </c>
      <c r="K28" s="7" t="s">
        <v>223</v>
      </c>
      <c r="L28" s="7" t="s">
        <v>662</v>
      </c>
      <c r="M28" s="10" t="s">
        <v>90</v>
      </c>
      <c r="N28" s="7" t="s">
        <v>91</v>
      </c>
      <c r="O28" s="7" t="s">
        <v>371</v>
      </c>
      <c r="P28" s="7" t="s">
        <v>398</v>
      </c>
      <c r="Q28" s="7" t="s">
        <v>489</v>
      </c>
      <c r="R28" s="15" t="s">
        <v>374</v>
      </c>
      <c r="S28" s="15" t="s">
        <v>99</v>
      </c>
      <c r="T28" s="15" t="s">
        <v>99</v>
      </c>
      <c r="U28" s="15" t="s">
        <v>99</v>
      </c>
      <c r="V28" s="15" t="s">
        <v>99</v>
      </c>
      <c r="W28" s="15" t="s">
        <v>99</v>
      </c>
    </row>
    <row r="29" ht="76" customHeight="1" spans="1:23" s="7" customFormat="1" x14ac:dyDescent="0.25">
      <c r="A29" s="7">
        <v>28</v>
      </c>
      <c r="B29" s="8" t="s">
        <v>663</v>
      </c>
      <c r="C29" s="7" t="s">
        <v>80</v>
      </c>
      <c r="D29" s="7" t="s">
        <v>664</v>
      </c>
      <c r="E29" s="7" t="s">
        <v>665</v>
      </c>
      <c r="F29" s="7" t="s">
        <v>666</v>
      </c>
      <c r="G29" s="7" t="s">
        <v>667</v>
      </c>
      <c r="H29" s="7" t="s">
        <v>668</v>
      </c>
      <c r="I29" s="7" t="s">
        <v>669</v>
      </c>
      <c r="J29" s="7" t="s">
        <v>670</v>
      </c>
      <c r="K29" s="7" t="s">
        <v>671</v>
      </c>
      <c r="L29" s="7" t="s">
        <v>672</v>
      </c>
      <c r="M29" s="10" t="s">
        <v>90</v>
      </c>
      <c r="N29" s="7" t="s">
        <v>91</v>
      </c>
      <c r="O29" s="7" t="s">
        <v>673</v>
      </c>
      <c r="P29" s="7" t="s">
        <v>467</v>
      </c>
      <c r="Q29" s="7" t="s">
        <v>674</v>
      </c>
      <c r="R29" s="15" t="s">
        <v>374</v>
      </c>
      <c r="S29" s="15" t="s">
        <v>99</v>
      </c>
      <c r="T29" s="15" t="s">
        <v>99</v>
      </c>
      <c r="U29" s="15" t="s">
        <v>99</v>
      </c>
      <c r="V29" s="15" t="s">
        <v>99</v>
      </c>
      <c r="W29" s="15" t="s">
        <v>99</v>
      </c>
    </row>
    <row r="30" ht="76" customHeight="1" spans="1:23" s="7" customFormat="1" x14ac:dyDescent="0.25">
      <c r="A30" s="7">
        <v>29</v>
      </c>
      <c r="B30" s="8" t="s">
        <v>675</v>
      </c>
      <c r="C30" s="7" t="s">
        <v>80</v>
      </c>
      <c r="D30" s="7" t="s">
        <v>676</v>
      </c>
      <c r="E30" s="7" t="s">
        <v>677</v>
      </c>
      <c r="F30" s="7" t="s">
        <v>678</v>
      </c>
      <c r="G30" s="7" t="s">
        <v>679</v>
      </c>
      <c r="H30" s="7" t="s">
        <v>680</v>
      </c>
      <c r="I30" s="7" t="s">
        <v>681</v>
      </c>
      <c r="J30" s="7" t="s">
        <v>682</v>
      </c>
      <c r="K30" s="7" t="s">
        <v>574</v>
      </c>
      <c r="L30" s="7" t="s">
        <v>683</v>
      </c>
      <c r="M30" s="10" t="s">
        <v>90</v>
      </c>
      <c r="N30" s="7" t="s">
        <v>91</v>
      </c>
      <c r="O30" s="7" t="s">
        <v>684</v>
      </c>
      <c r="P30" s="7" t="s">
        <v>372</v>
      </c>
      <c r="Q30" s="7" t="s">
        <v>577</v>
      </c>
      <c r="R30" s="15" t="s">
        <v>374</v>
      </c>
      <c r="S30" s="15" t="s">
        <v>99</v>
      </c>
      <c r="T30" s="15" t="s">
        <v>99</v>
      </c>
      <c r="U30" s="15" t="s">
        <v>99</v>
      </c>
      <c r="V30" s="15" t="s">
        <v>99</v>
      </c>
      <c r="W30" s="15" t="s">
        <v>99</v>
      </c>
    </row>
    <row r="31" ht="76" customHeight="1" spans="1:23" s="7" customFormat="1" x14ac:dyDescent="0.25">
      <c r="A31" s="7">
        <v>30</v>
      </c>
      <c r="B31" s="8" t="s">
        <v>685</v>
      </c>
      <c r="C31" s="7" t="s">
        <v>80</v>
      </c>
      <c r="D31" s="7" t="s">
        <v>686</v>
      </c>
      <c r="E31" s="7" t="s">
        <v>687</v>
      </c>
      <c r="F31" s="7" t="s">
        <v>688</v>
      </c>
      <c r="G31" s="7" t="s">
        <v>689</v>
      </c>
      <c r="H31" s="7" t="s">
        <v>690</v>
      </c>
      <c r="I31" s="7" t="s">
        <v>691</v>
      </c>
      <c r="J31" s="7" t="s">
        <v>692</v>
      </c>
      <c r="K31" s="7" t="s">
        <v>693</v>
      </c>
      <c r="L31" s="7" t="s">
        <v>694</v>
      </c>
      <c r="M31" s="10" t="s">
        <v>90</v>
      </c>
      <c r="N31" s="11" t="s">
        <v>143</v>
      </c>
      <c r="O31" s="7" t="s">
        <v>695</v>
      </c>
      <c r="P31" s="7" t="s">
        <v>398</v>
      </c>
      <c r="Q31" s="7" t="s">
        <v>696</v>
      </c>
      <c r="R31" s="15" t="s">
        <v>374</v>
      </c>
      <c r="S31" s="15" t="s">
        <v>99</v>
      </c>
      <c r="T31" s="15" t="s">
        <v>99</v>
      </c>
      <c r="U31" s="15" t="s">
        <v>99</v>
      </c>
      <c r="V31" s="15" t="s">
        <v>99</v>
      </c>
      <c r="W31" s="15" t="s">
        <v>99</v>
      </c>
    </row>
    <row r="32" ht="76" customHeight="1" spans="1:23" s="7" customFormat="1" x14ac:dyDescent="0.25">
      <c r="A32" s="7">
        <v>31</v>
      </c>
      <c r="B32" s="8" t="s">
        <v>697</v>
      </c>
      <c r="C32" s="7" t="s">
        <v>80</v>
      </c>
      <c r="D32" s="7" t="s">
        <v>698</v>
      </c>
      <c r="E32" s="7" t="s">
        <v>699</v>
      </c>
      <c r="F32" s="7" t="s">
        <v>700</v>
      </c>
      <c r="G32" s="7" t="s">
        <v>701</v>
      </c>
      <c r="H32" s="7" t="s">
        <v>702</v>
      </c>
      <c r="I32" s="7" t="s">
        <v>703</v>
      </c>
      <c r="J32" s="7" t="s">
        <v>704</v>
      </c>
      <c r="K32" s="7" t="s">
        <v>705</v>
      </c>
      <c r="L32" s="7" t="s">
        <v>706</v>
      </c>
      <c r="M32" s="16" t="s">
        <v>707</v>
      </c>
      <c r="N32" s="7" t="s">
        <v>91</v>
      </c>
      <c r="O32" s="7" t="s">
        <v>708</v>
      </c>
      <c r="P32" s="7" t="s">
        <v>709</v>
      </c>
      <c r="Q32" s="7" t="s">
        <v>710</v>
      </c>
      <c r="R32" s="15" t="s">
        <v>374</v>
      </c>
      <c r="S32" s="15" t="s">
        <v>99</v>
      </c>
      <c r="T32" s="15" t="s">
        <v>99</v>
      </c>
      <c r="U32" s="15" t="s">
        <v>99</v>
      </c>
      <c r="V32" s="15" t="s">
        <v>99</v>
      </c>
      <c r="W32" s="15" t="s">
        <v>99</v>
      </c>
    </row>
    <row r="33" ht="76" customHeight="1" spans="1:23" s="7" customFormat="1" x14ac:dyDescent="0.25">
      <c r="A33" s="7">
        <v>32</v>
      </c>
      <c r="B33" s="8" t="s">
        <v>711</v>
      </c>
      <c r="C33" s="7" t="s">
        <v>80</v>
      </c>
      <c r="D33" s="7" t="s">
        <v>712</v>
      </c>
      <c r="E33" s="7" t="s">
        <v>713</v>
      </c>
      <c r="F33" s="7" t="s">
        <v>714</v>
      </c>
      <c r="G33" s="7" t="s">
        <v>715</v>
      </c>
      <c r="H33" s="7" t="s">
        <v>716</v>
      </c>
      <c r="I33" s="7" t="s">
        <v>717</v>
      </c>
      <c r="J33" s="7" t="s">
        <v>718</v>
      </c>
      <c r="K33" s="7" t="s">
        <v>719</v>
      </c>
      <c r="L33" s="7" t="s">
        <v>720</v>
      </c>
      <c r="M33" s="10" t="s">
        <v>90</v>
      </c>
      <c r="N33" s="7" t="s">
        <v>91</v>
      </c>
      <c r="O33" s="7" t="s">
        <v>721</v>
      </c>
      <c r="P33" s="7" t="s">
        <v>722</v>
      </c>
      <c r="Q33" s="7" t="s">
        <v>723</v>
      </c>
      <c r="R33" s="15" t="s">
        <v>374</v>
      </c>
      <c r="S33" s="15" t="s">
        <v>99</v>
      </c>
      <c r="T33" s="15" t="s">
        <v>99</v>
      </c>
      <c r="U33" s="15" t="s">
        <v>99</v>
      </c>
      <c r="V33" s="15" t="s">
        <v>99</v>
      </c>
      <c r="W33" s="15" t="s">
        <v>99</v>
      </c>
    </row>
    <row r="34" ht="76" customHeight="1" spans="1:23" s="7" customFormat="1" x14ac:dyDescent="0.25">
      <c r="A34" s="7">
        <v>33</v>
      </c>
      <c r="B34" s="8" t="s">
        <v>724</v>
      </c>
      <c r="C34" s="7" t="s">
        <v>80</v>
      </c>
      <c r="D34" s="7" t="s">
        <v>725</v>
      </c>
      <c r="E34" s="7" t="s">
        <v>726</v>
      </c>
      <c r="F34" s="7" t="s">
        <v>727</v>
      </c>
      <c r="G34" s="7" t="s">
        <v>728</v>
      </c>
      <c r="H34" s="7" t="s">
        <v>729</v>
      </c>
      <c r="I34" s="7" t="s">
        <v>730</v>
      </c>
      <c r="J34" s="7" t="s">
        <v>731</v>
      </c>
      <c r="K34" s="7" t="s">
        <v>732</v>
      </c>
      <c r="L34" s="7" t="s">
        <v>733</v>
      </c>
      <c r="M34" s="10" t="s">
        <v>90</v>
      </c>
      <c r="N34" s="7" t="s">
        <v>91</v>
      </c>
      <c r="O34" s="7" t="s">
        <v>734</v>
      </c>
      <c r="P34" s="7" t="s">
        <v>735</v>
      </c>
      <c r="Q34" s="7" t="s">
        <v>736</v>
      </c>
      <c r="R34" s="15" t="s">
        <v>374</v>
      </c>
      <c r="S34" s="15" t="s">
        <v>99</v>
      </c>
      <c r="T34" s="15" t="s">
        <v>99</v>
      </c>
      <c r="U34" s="15" t="s">
        <v>99</v>
      </c>
      <c r="V34" s="15" t="s">
        <v>99</v>
      </c>
      <c r="W34" s="15" t="s">
        <v>99</v>
      </c>
    </row>
    <row r="35" ht="76" customHeight="1" spans="1:23" s="7" customFormat="1" x14ac:dyDescent="0.25">
      <c r="A35" s="7">
        <v>34</v>
      </c>
      <c r="B35" s="8" t="s">
        <v>737</v>
      </c>
      <c r="C35" s="7" t="s">
        <v>80</v>
      </c>
      <c r="D35" s="7" t="s">
        <v>738</v>
      </c>
      <c r="E35" s="7" t="s">
        <v>739</v>
      </c>
      <c r="F35" s="7" t="s">
        <v>740</v>
      </c>
      <c r="G35" s="7" t="s">
        <v>741</v>
      </c>
      <c r="H35" s="7" t="s">
        <v>742</v>
      </c>
      <c r="I35" s="7" t="s">
        <v>743</v>
      </c>
      <c r="J35" s="7" t="s">
        <v>744</v>
      </c>
      <c r="K35" s="7" t="s">
        <v>745</v>
      </c>
      <c r="L35" s="7" t="s">
        <v>746</v>
      </c>
      <c r="M35" s="16" t="s">
        <v>707</v>
      </c>
      <c r="N35" s="11" t="s">
        <v>143</v>
      </c>
      <c r="O35" s="7" t="s">
        <v>747</v>
      </c>
      <c r="P35" s="7" t="s">
        <v>748</v>
      </c>
      <c r="Q35" s="7" t="s">
        <v>749</v>
      </c>
      <c r="R35" s="15" t="s">
        <v>374</v>
      </c>
      <c r="S35" s="15" t="s">
        <v>99</v>
      </c>
      <c r="T35" s="15" t="s">
        <v>99</v>
      </c>
      <c r="U35" s="15" t="s">
        <v>99</v>
      </c>
      <c r="V35" s="15" t="s">
        <v>99</v>
      </c>
      <c r="W35" s="15" t="s">
        <v>99</v>
      </c>
    </row>
  </sheetData>
  <dataValidations count="2">
    <dataValidation type="list" sqref="R10:R35">
      <formula1>"Not Run,Pass,Fail,Blocked,Not Applicable"</formula1>
    </dataValidation>
    <dataValidation type="list" sqref="R2:R35">
      <formula1>"Not Run,Pass,Fail,Blocked,Not Applicable"</formula1>
    </dataValidation>
  </dataValidations>
  <pageMargins left="0.25" right="0.25" top="0.5" bottom="0.5" header="0.2" footer="0.2"/>
  <pageSetup paperSize="9" orientation="landscape" fitToWidth="1"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48235"/>
    <pageSetUpPr fitToPage="1"/>
  </sheetPr>
  <dimension ref="A1:D62"/>
  <sheetViews>
    <sheetView workbookViewId="0" showGridLines="0">
      <pane ySplit="4" topLeftCell="A5" activePane="bottomLeft" state="frozen"/>
      <selection pane="bottomLeft"/>
    </sheetView>
  </sheetViews>
  <sheetFormatPr defaultRowHeight="15" outlineLevelRow="0" outlineLevelCol="0" x14ac:dyDescent="55"/>
  <cols>
    <col min="1" max="1" width="24" customWidth="1"/>
    <col min="2" max="2" width="38" customWidth="1"/>
    <col min="3" max="3" width="14" customWidth="1"/>
    <col min="4" max="4" width="72" customWidth="1"/>
  </cols>
  <sheetData>
    <row r="1" ht="32" customHeight="1" spans="1:4" x14ac:dyDescent="0.25">
      <c r="A1" s="17" t="s">
        <v>750</v>
      </c>
      <c r="B1" s="17"/>
      <c r="C1" s="17"/>
      <c r="D1" s="17"/>
    </row>
    <row r="2" spans="1:4" x14ac:dyDescent="0.25">
      <c r="A2" s="18" t="s">
        <v>751</v>
      </c>
      <c r="B2" s="18"/>
      <c r="C2" s="18"/>
      <c r="D2" s="18"/>
    </row>
    <row r="3" spans="1:4" x14ac:dyDescent="0.25"/>
    <row r="4" ht="30" customHeight="1" spans="1:4" s="19" customFormat="1" x14ac:dyDescent="0.25">
      <c r="A4" s="19" t="s">
        <v>752</v>
      </c>
      <c r="B4" s="19" t="s">
        <v>753</v>
      </c>
      <c r="C4" s="19" t="s">
        <v>754</v>
      </c>
      <c r="D4" s="19" t="s">
        <v>755</v>
      </c>
    </row>
    <row r="5" ht="27" customHeight="1" spans="1:4" s="20" customFormat="1" x14ac:dyDescent="0.25">
      <c r="A5" s="21" t="s">
        <v>756</v>
      </c>
      <c r="B5" s="22" t="s">
        <v>757</v>
      </c>
      <c r="C5" s="23">
        <f>ROWS(UI ComponentsAutomatedCases[Test Case ID])</f>
        <v>30</v>
      </c>
      <c r="D5" s="22" t="s">
        <v>758</v>
      </c>
    </row>
    <row r="6" ht="27" customHeight="1" spans="1:4" s="20" customFormat="1" x14ac:dyDescent="0.25">
      <c r="A6" s="21" t="s">
        <v>756</v>
      </c>
      <c r="B6" s="22" t="s">
        <v>759</v>
      </c>
      <c r="C6" s="23">
        <f>ROWS(UI ComponentsManualUiUxCases[Test Case ID])</f>
        <v>34</v>
      </c>
      <c r="D6" s="22" t="s">
        <v>760</v>
      </c>
    </row>
    <row r="7" ht="27" customHeight="1" spans="1:4" s="20" customFormat="1" x14ac:dyDescent="0.25">
      <c r="A7" s="21" t="s">
        <v>756</v>
      </c>
      <c r="B7" s="22" t="s">
        <v>761</v>
      </c>
      <c r="C7" s="23">
        <f>ROWS(UI ComponentsAutomatedCases[Test Case ID])+ROWS(UI ComponentsManualUiUxCases[Test Case ID])</f>
        <v>64</v>
      </c>
      <c r="D7" s="22" t="s">
        <v>762</v>
      </c>
    </row>
    <row r="8" ht="27" customHeight="1" spans="1:4" s="20" customFormat="1" x14ac:dyDescent="0.25">
      <c r="A8" s="21" t="s">
        <v>763</v>
      </c>
      <c r="B8" s="22" t="s">
        <v>764</v>
      </c>
      <c r="C8" s="23">
        <f>COUNTIF(UI ComponentsAutomatedCases[Write Operation],"YES")</f>
        <v>3</v>
      </c>
      <c r="D8" s="22" t="s">
        <v>765</v>
      </c>
    </row>
    <row r="9" ht="27" customHeight="1" spans="1:4" s="20" customFormat="1" x14ac:dyDescent="0.25">
      <c r="A9" s="21" t="s">
        <v>20</v>
      </c>
      <c r="B9" s="22" t="s">
        <v>374</v>
      </c>
      <c r="C9" s="23">
        <f>COUNTIF(UI ComponentsManualUiUxCases[Status],"Not Run")</f>
        <v>34</v>
      </c>
      <c r="D9" s="22" t="s">
        <v>766</v>
      </c>
    </row>
    <row r="10" ht="27" customHeight="1" spans="1:4" s="20" customFormat="1" x14ac:dyDescent="0.25">
      <c r="A10" s="21" t="s">
        <v>20</v>
      </c>
      <c r="B10" s="22" t="s">
        <v>767</v>
      </c>
      <c r="C10" s="23">
        <f>COUNTIF(UI ComponentsManualUiUxCases[Status],"Pass")</f>
        <v>0</v>
      </c>
      <c r="D10" s="22" t="s">
        <v>768</v>
      </c>
    </row>
    <row r="11" ht="27" customHeight="1" spans="1:4" s="20" customFormat="1" x14ac:dyDescent="0.25">
      <c r="A11" s="21" t="s">
        <v>20</v>
      </c>
      <c r="B11" s="22" t="s">
        <v>769</v>
      </c>
      <c r="C11" s="23">
        <f>COUNTIF(UI ComponentsManualUiUxCases[Status],"Fail")</f>
        <v>0</v>
      </c>
      <c r="D11" s="22" t="s">
        <v>770</v>
      </c>
    </row>
    <row r="12" ht="27" customHeight="1" spans="1:4" s="20" customFormat="1" x14ac:dyDescent="0.25">
      <c r="A12" s="21" t="s">
        <v>71</v>
      </c>
      <c r="B12" s="22" t="s">
        <v>707</v>
      </c>
      <c r="C12" s="23">
        <f>COUNTIF(UI ComponentsAutomatedCases[Priority],"P0")+COUNTIF(UI ComponentsManualUiUxCases[Priority],"P0")</f>
        <v>2</v>
      </c>
      <c r="D12" s="22" t="s">
        <v>771</v>
      </c>
    </row>
    <row r="13" ht="27" customHeight="1" spans="1:4" s="20" customFormat="1" x14ac:dyDescent="0.25">
      <c r="A13" s="21" t="s">
        <v>71</v>
      </c>
      <c r="B13" s="22" t="s">
        <v>90</v>
      </c>
      <c r="C13" s="23">
        <f>COUNTIF(UI ComponentsAutomatedCases[Priority],"P1")+COUNTIF(UI ComponentsManualUiUxCases[Priority],"P1")</f>
        <v>52</v>
      </c>
      <c r="D13" s="22" t="s">
        <v>772</v>
      </c>
    </row>
    <row r="14" ht="27" customHeight="1" spans="1:4" s="20" customFormat="1" x14ac:dyDescent="0.25">
      <c r="A14" s="21" t="s">
        <v>71</v>
      </c>
      <c r="B14" s="22" t="s">
        <v>369</v>
      </c>
      <c r="C14" s="23">
        <f>COUNTIF(UI ComponentsAutomatedCases[Priority],"P2")+COUNTIF(UI ComponentsManualUiUxCases[Priority],"P2")</f>
        <v>10</v>
      </c>
      <c r="D14" s="22" t="s">
        <v>773</v>
      </c>
    </row>
    <row r="15" ht="27" customHeight="1" spans="1:4" s="20" customFormat="1" x14ac:dyDescent="0.25">
      <c r="A15" s="21" t="s">
        <v>72</v>
      </c>
      <c r="B15" s="22" t="s">
        <v>143</v>
      </c>
      <c r="C15" s="23">
        <f>COUNTIF(UI ComponentsAutomatedCases[Severity],"Critical")+COUNTIF(UI ComponentsManualUiUxCases[Severity],"Critical")</f>
        <v>12</v>
      </c>
      <c r="D15" s="22" t="s">
        <v>774</v>
      </c>
    </row>
    <row r="16" ht="27" customHeight="1" spans="1:4" s="20" customFormat="1" x14ac:dyDescent="0.25">
      <c r="A16" s="21" t="s">
        <v>72</v>
      </c>
      <c r="B16" s="22" t="s">
        <v>91</v>
      </c>
      <c r="C16" s="23">
        <f>COUNTIF(UI ComponentsAutomatedCases[Severity],"Major")+COUNTIF(UI ComponentsManualUiUxCases[Severity],"Major")</f>
        <v>45</v>
      </c>
      <c r="D16" s="22" t="s">
        <v>775</v>
      </c>
    </row>
    <row r="17" ht="27" customHeight="1" spans="1:4" s="20" customFormat="1" x14ac:dyDescent="0.25">
      <c r="A17" s="21" t="s">
        <v>72</v>
      </c>
      <c r="B17" s="22" t="s">
        <v>370</v>
      </c>
      <c r="C17" s="23">
        <f>COUNTIF(UI ComponentsAutomatedCases[Severity],"Minor")+COUNTIF(UI ComponentsManualUiUxCases[Severity],"Minor")</f>
        <v>7</v>
      </c>
      <c r="D17" s="22" t="s">
        <v>776</v>
      </c>
    </row>
    <row r="18" ht="27" customHeight="1" spans="1:4" s="20" customFormat="1" x14ac:dyDescent="0.25">
      <c r="A18" s="21" t="s">
        <v>777</v>
      </c>
      <c r="B18" s="22" t="s">
        <v>88</v>
      </c>
      <c r="C18" s="23">
        <f>COUNTIF(UI ComponentsAutomatedCases[Execution Tags],"*@functional*")+COUNTIF(UI ComponentsManualUiUxCases[Execution Tags],"*@functional*")</f>
        <v>30</v>
      </c>
      <c r="D18" s="22" t="s">
        <v>778</v>
      </c>
    </row>
    <row r="19" ht="27" customHeight="1" spans="1:4" s="20" customFormat="1" x14ac:dyDescent="0.25">
      <c r="A19" s="21" t="s">
        <v>777</v>
      </c>
      <c r="B19" s="22" t="s">
        <v>779</v>
      </c>
      <c r="C19" s="23">
        <f>COUNTIF(UI ComponentsAutomatedCases[Execution Tags],"*@non-functional*")+COUNTIF(UI ComponentsManualUiUxCases[Execution Tags],"*@non-functional*")</f>
        <v>41</v>
      </c>
      <c r="D19" s="22" t="s">
        <v>780</v>
      </c>
    </row>
    <row r="20" ht="27" customHeight="1" spans="1:4" s="20" customFormat="1" x14ac:dyDescent="0.25">
      <c r="A20" s="21" t="s">
        <v>777</v>
      </c>
      <c r="B20" s="22" t="s">
        <v>781</v>
      </c>
      <c r="C20" s="23">
        <f>COUNTIF(UI ComponentsAutomatedCases[Execution Tags],"*@smoke*")+COUNTIF(UI ComponentsManualUiUxCases[Execution Tags],"*@smoke*")</f>
        <v>1</v>
      </c>
      <c r="D20" s="22" t="s">
        <v>782</v>
      </c>
    </row>
    <row r="21" ht="27" customHeight="1" spans="1:4" s="20" customFormat="1" x14ac:dyDescent="0.25">
      <c r="A21" s="21" t="s">
        <v>777</v>
      </c>
      <c r="B21" s="22" t="s">
        <v>783</v>
      </c>
      <c r="C21" s="23">
        <f>COUNTIF(UI ComponentsAutomatedCases[Execution Tags],"*@prod-smoke*")+COUNTIF(UI ComponentsManualUiUxCases[Execution Tags],"*@prod-smoke*")</f>
        <v>1</v>
      </c>
      <c r="D21" s="22" t="s">
        <v>784</v>
      </c>
    </row>
    <row r="22" ht="27" customHeight="1" spans="1:4" s="20" customFormat="1" x14ac:dyDescent="0.25">
      <c r="A22" s="21" t="s">
        <v>777</v>
      </c>
      <c r="B22" s="22" t="s">
        <v>785</v>
      </c>
      <c r="C22" s="23">
        <f>COUNTIF(UI ComponentsAutomatedCases[Execution Tags],"*@sanity*")+COUNTIF(UI ComponentsManualUiUxCases[Execution Tags],"*@sanity*")</f>
        <v>5</v>
      </c>
      <c r="D22" s="22" t="s">
        <v>786</v>
      </c>
    </row>
    <row r="23" ht="27" customHeight="1" spans="1:4" s="20" customFormat="1" x14ac:dyDescent="0.25">
      <c r="A23" s="21" t="s">
        <v>777</v>
      </c>
      <c r="B23" s="22" t="s">
        <v>787</v>
      </c>
      <c r="C23" s="23">
        <f>COUNTIF(UI ComponentsAutomatedCases[Execution Tags],"*@regression*")+COUNTIF(UI ComponentsManualUiUxCases[Execution Tags],"*@regression*")</f>
        <v>64</v>
      </c>
      <c r="D23" s="22" t="s">
        <v>788</v>
      </c>
    </row>
    <row r="24" ht="27" customHeight="1" spans="1:4" s="20" customFormat="1" x14ac:dyDescent="0.25">
      <c r="A24" s="21" t="s">
        <v>777</v>
      </c>
      <c r="B24" s="22" t="s">
        <v>789</v>
      </c>
      <c r="C24" s="23">
        <f>COUNTIF(UI ComponentsAutomatedCases[Execution Tags],"*@e2e*")+COUNTIF(UI ComponentsManualUiUxCases[Execution Tags],"*@e2e*")</f>
        <v>8</v>
      </c>
      <c r="D24" s="22" t="s">
        <v>790</v>
      </c>
    </row>
    <row r="25" ht="27" customHeight="1" spans="1:4" s="20" customFormat="1" x14ac:dyDescent="0.25">
      <c r="A25" s="21" t="s">
        <v>777</v>
      </c>
      <c r="B25" s="22" t="s">
        <v>791</v>
      </c>
      <c r="C25" s="23">
        <f>COUNTIF(UI ComponentsAutomatedCases[Execution Tags],"*@integration*")+COUNTIF(UI ComponentsManualUiUxCases[Execution Tags],"*@integration*")</f>
        <v>5</v>
      </c>
      <c r="D25" s="22" t="s">
        <v>792</v>
      </c>
    </row>
    <row r="26" ht="27" customHeight="1" spans="1:4" s="20" customFormat="1" x14ac:dyDescent="0.25">
      <c r="A26" s="21" t="s">
        <v>777</v>
      </c>
      <c r="B26" s="22" t="s">
        <v>296</v>
      </c>
      <c r="C26" s="23">
        <f>COUNTIF(UI ComponentsAutomatedCases[Execution Tags],"*@security*")+COUNTIF(UI ComponentsManualUiUxCases[Execution Tags],"*@security*")</f>
        <v>6</v>
      </c>
      <c r="D26" s="22" t="s">
        <v>793</v>
      </c>
    </row>
    <row r="27" ht="27" customHeight="1" spans="1:4" s="20" customFormat="1" x14ac:dyDescent="0.25">
      <c r="A27" s="21" t="s">
        <v>777</v>
      </c>
      <c r="B27" s="22" t="s">
        <v>223</v>
      </c>
      <c r="C27" s="23">
        <f>COUNTIF(UI ComponentsAutomatedCases[Execution Tags],"*@a11y*")+COUNTIF(UI ComponentsManualUiUxCases[Execution Tags],"*@a11y*")</f>
        <v>19</v>
      </c>
      <c r="D27" s="22" t="s">
        <v>794</v>
      </c>
    </row>
    <row r="28" ht="27" customHeight="1" spans="1:4" s="20" customFormat="1" x14ac:dyDescent="0.25">
      <c r="A28" s="21" t="s">
        <v>777</v>
      </c>
      <c r="B28" s="22" t="s">
        <v>795</v>
      </c>
      <c r="C28" s="23">
        <f>COUNTIF(UI ComponentsAutomatedCases[Execution Tags],"*@responsive*")+COUNTIF(UI ComponentsManualUiUxCases[Execution Tags],"*@responsive*")</f>
        <v>5</v>
      </c>
      <c r="D28" s="22" t="s">
        <v>796</v>
      </c>
    </row>
    <row r="29" ht="27" customHeight="1" spans="1:4" s="20" customFormat="1" x14ac:dyDescent="0.25">
      <c r="A29" s="21" t="s">
        <v>777</v>
      </c>
      <c r="B29" s="22" t="s">
        <v>797</v>
      </c>
      <c r="C29" s="23">
        <f>COUNTIF(UI ComponentsAutomatedCases[Execution Tags],"*@visual-regression*")+COUNTIF(UI ComponentsManualUiUxCases[Execution Tags],"*@visual-regression*")</f>
        <v>1</v>
      </c>
      <c r="D29" s="22" t="s">
        <v>798</v>
      </c>
    </row>
    <row r="30" ht="27" customHeight="1" spans="1:4" s="20" customFormat="1" x14ac:dyDescent="0.25">
      <c r="A30" s="21" t="s">
        <v>777</v>
      </c>
      <c r="B30" s="22" t="s">
        <v>799</v>
      </c>
      <c r="C30" s="23">
        <f>COUNTIF(UI ComponentsAutomatedCases[Execution Tags],"*@performance*")+COUNTIF(UI ComponentsManualUiUxCases[Execution Tags],"*@performance*")</f>
        <v>1</v>
      </c>
      <c r="D30" s="22" t="s">
        <v>800</v>
      </c>
    </row>
    <row r="31" ht="27" customHeight="1" spans="1:4" s="20" customFormat="1" x14ac:dyDescent="0.25">
      <c r="A31" s="21" t="s">
        <v>777</v>
      </c>
      <c r="B31" s="22" t="s">
        <v>801</v>
      </c>
      <c r="C31" s="23">
        <f>COUNTIF(UI ComponentsAutomatedCases[Execution Tags],"*@localization*")+COUNTIF(UI ComponentsManualUiUxCases[Execution Tags],"*@localization*")</f>
        <v>1</v>
      </c>
      <c r="D31" s="22" t="s">
        <v>802</v>
      </c>
    </row>
    <row r="32" ht="27" customHeight="1" spans="1:4" s="20" customFormat="1" x14ac:dyDescent="0.25">
      <c r="A32" s="21" t="s">
        <v>777</v>
      </c>
      <c r="B32" s="22" t="s">
        <v>803</v>
      </c>
      <c r="C32" s="23">
        <f>COUNTIF(UI ComponentsAutomatedCases[Execution Tags],"*@exploratory*")+COUNTIF(UI ComponentsManualUiUxCases[Execution Tags],"*@exploratory*")</f>
        <v>1</v>
      </c>
      <c r="D32" s="22" t="s">
        <v>804</v>
      </c>
    </row>
    <row r="33" ht="27" customHeight="1" spans="1:4" s="20" customFormat="1" x14ac:dyDescent="0.25">
      <c r="A33" s="21" t="s">
        <v>777</v>
      </c>
      <c r="B33" s="22" t="s">
        <v>805</v>
      </c>
      <c r="C33" s="23">
        <f>COUNTIF(UI ComponentsAutomatedCases[Execution Tags],"*@uat*")+COUNTIF(UI ComponentsManualUiUxCases[Execution Tags],"*@uat*")</f>
        <v>6</v>
      </c>
      <c r="D33" s="22" t="s">
        <v>806</v>
      </c>
    </row>
    <row r="34" ht="27" customHeight="1" spans="1:4" s="20" customFormat="1" x14ac:dyDescent="0.25">
      <c r="A34" s="21" t="s">
        <v>777</v>
      </c>
      <c r="B34" s="22" t="s">
        <v>38</v>
      </c>
      <c r="C34" s="23">
        <f>COUNTIF(UI ComponentsAutomatedCases[Execution Tags],"*@retest*")+COUNTIF(UI ComponentsManualUiUxCases[Execution Tags],"*@retest*")</f>
        <v>0</v>
      </c>
      <c r="D34" s="22" t="s">
        <v>807</v>
      </c>
    </row>
    <row r="35" ht="27" customHeight="1" spans="1:4" s="20" customFormat="1" x14ac:dyDescent="0.25">
      <c r="A35" s="21" t="s">
        <v>808</v>
      </c>
      <c r="B35" s="22" t="s">
        <v>651</v>
      </c>
      <c r="C35" s="23">
        <f>COUNTIF(UI ComponentsManualUiUxCases[UX Category],"Access usability")</f>
        <v>1</v>
      </c>
      <c r="D35" s="22" t="s">
        <v>809</v>
      </c>
    </row>
    <row r="36" ht="27" customHeight="1" spans="1:4" s="20" customFormat="1" x14ac:dyDescent="0.25">
      <c r="A36" s="21" t="s">
        <v>808</v>
      </c>
      <c r="B36" s="22" t="s">
        <v>223</v>
      </c>
      <c r="C36" s="23">
        <f>COUNTIF(UI ComponentsManualUiUxCases[UX Category],"Accessibility")</f>
        <v>3</v>
      </c>
      <c r="D36" s="22" t="s">
        <v>810</v>
      </c>
    </row>
    <row r="37" ht="27" customHeight="1" spans="1:4" s="20" customFormat="1" x14ac:dyDescent="0.25">
      <c r="A37" s="21" t="s">
        <v>808</v>
      </c>
      <c r="B37" s="22" t="s">
        <v>453</v>
      </c>
      <c r="C37" s="23">
        <f>COUNTIF(UI ComponentsManualUiUxCases[UX Category],"Content resilience")</f>
        <v>1</v>
      </c>
      <c r="D37" s="22" t="s">
        <v>811</v>
      </c>
    </row>
    <row r="38" ht="27" customHeight="1" spans="1:4" s="20" customFormat="1" x14ac:dyDescent="0.25">
      <c r="A38" s="21" t="s">
        <v>808</v>
      </c>
      <c r="B38" s="22" t="s">
        <v>507</v>
      </c>
      <c r="C38" s="23">
        <f>COUNTIF(UI ComponentsManualUiUxCases[UX Category],"Data-loss prevention")</f>
        <v>1</v>
      </c>
      <c r="D38" s="22" t="s">
        <v>812</v>
      </c>
    </row>
    <row r="39" ht="27" customHeight="1" spans="1:4" s="20" customFormat="1" x14ac:dyDescent="0.25">
      <c r="A39" s="21" t="s">
        <v>808</v>
      </c>
      <c r="B39" s="22" t="s">
        <v>693</v>
      </c>
      <c r="C39" s="23">
        <f>COUNTIF(UI ComponentsManualUiUxCases[UX Category],"Destructive-action safety")</f>
        <v>1</v>
      </c>
      <c r="D39" s="22" t="s">
        <v>813</v>
      </c>
    </row>
    <row r="40" ht="27" customHeight="1" spans="1:4" s="20" customFormat="1" x14ac:dyDescent="0.25">
      <c r="A40" s="21" t="s">
        <v>808</v>
      </c>
      <c r="B40" s="22" t="s">
        <v>595</v>
      </c>
      <c r="C40" s="23">
        <f>COUNTIF(UI ComponentsManualUiUxCases[UX Category],"Editor accessibility")</f>
        <v>1</v>
      </c>
      <c r="D40" s="22" t="s">
        <v>814</v>
      </c>
    </row>
    <row r="41" ht="27" customHeight="1" spans="1:4" s="20" customFormat="1" x14ac:dyDescent="0.25">
      <c r="A41" s="21" t="s">
        <v>808</v>
      </c>
      <c r="B41" s="22" t="s">
        <v>563</v>
      </c>
      <c r="C41" s="23">
        <f>COUNTIF(UI ComponentsManualUiUxCases[UX Category],"Editor usability")</f>
        <v>2</v>
      </c>
      <c r="D41" s="22" t="s">
        <v>815</v>
      </c>
    </row>
    <row r="42" ht="27" customHeight="1" spans="1:4" s="20" customFormat="1" x14ac:dyDescent="0.25">
      <c r="A42" s="21" t="s">
        <v>808</v>
      </c>
      <c r="B42" s="22" t="s">
        <v>408</v>
      </c>
      <c r="C42" s="23">
        <f>COUNTIF(UI ComponentsManualUiUxCases[UX Category],"Empty-state UX")</f>
        <v>1</v>
      </c>
      <c r="D42" s="22" t="s">
        <v>816</v>
      </c>
    </row>
    <row r="43" ht="27" customHeight="1" spans="1:4" s="20" customFormat="1" x14ac:dyDescent="0.25">
      <c r="A43" s="21" t="s">
        <v>808</v>
      </c>
      <c r="B43" s="22" t="s">
        <v>745</v>
      </c>
      <c r="C43" s="23">
        <f>COUNTIF(UI ComponentsManualUiUxCases[UX Category],"Exploratory UAT")</f>
        <v>1</v>
      </c>
      <c r="D43" s="22" t="s">
        <v>817</v>
      </c>
    </row>
    <row r="44" ht="27" customHeight="1" spans="1:4" s="20" customFormat="1" x14ac:dyDescent="0.25">
      <c r="A44" s="21" t="s">
        <v>808</v>
      </c>
      <c r="B44" s="22" t="s">
        <v>383</v>
      </c>
      <c r="C44" s="23">
        <f>COUNTIF(UI ComponentsManualUiUxCases[UX Category],"Feedback")</f>
        <v>1</v>
      </c>
      <c r="D44" s="22" t="s">
        <v>818</v>
      </c>
    </row>
    <row r="45" ht="27" customHeight="1" spans="1:4" s="20" customFormat="1" x14ac:dyDescent="0.25">
      <c r="A45" s="21" t="s">
        <v>808</v>
      </c>
      <c r="B45" s="22" t="s">
        <v>540</v>
      </c>
      <c r="C45" s="23">
        <f>COUNTIF(UI ComponentsManualUiUxCases[UX Category],"Form usability")</f>
        <v>1</v>
      </c>
      <c r="D45" s="22" t="s">
        <v>819</v>
      </c>
    </row>
    <row r="46" ht="27" customHeight="1" spans="1:4" s="20" customFormat="1" x14ac:dyDescent="0.25">
      <c r="A46" s="21" t="s">
        <v>808</v>
      </c>
      <c r="B46" s="22" t="s">
        <v>551</v>
      </c>
      <c r="C46" s="23">
        <f>COUNTIF(UI ComponentsManualUiUxCases[UX Category],"Information architecture")</f>
        <v>1</v>
      </c>
      <c r="D46" s="22" t="s">
        <v>820</v>
      </c>
    </row>
    <row r="47" ht="27" customHeight="1" spans="1:4" s="20" customFormat="1" x14ac:dyDescent="0.25">
      <c r="A47" s="21" t="s">
        <v>808</v>
      </c>
      <c r="B47" s="22" t="s">
        <v>441</v>
      </c>
      <c r="C47" s="23">
        <f>COUNTIF(UI ComponentsManualUiUxCases[UX Category],"Interaction feedback")</f>
        <v>1</v>
      </c>
      <c r="D47" s="22" t="s">
        <v>821</v>
      </c>
    </row>
    <row r="48" ht="27" customHeight="1" spans="1:4" s="20" customFormat="1" x14ac:dyDescent="0.25">
      <c r="A48" s="21" t="s">
        <v>808</v>
      </c>
      <c r="B48" s="22" t="s">
        <v>732</v>
      </c>
      <c r="C48" s="23">
        <f>COUNTIF(UI ComponentsManualUiUxCases[UX Category],"Localization and internationalization")</f>
        <v>1</v>
      </c>
      <c r="D48" s="22" t="s">
        <v>822</v>
      </c>
    </row>
    <row r="49" ht="27" customHeight="1" spans="1:4" s="20" customFormat="1" x14ac:dyDescent="0.25">
      <c r="A49" s="21" t="s">
        <v>808</v>
      </c>
      <c r="B49" s="22" t="s">
        <v>640</v>
      </c>
      <c r="C49" s="23">
        <f>COUNTIF(UI ComponentsManualUiUxCases[UX Category],"Preview isolation and responsive UX")</f>
        <v>1</v>
      </c>
      <c r="D49" s="22" t="s">
        <v>823</v>
      </c>
    </row>
    <row r="50" ht="27" customHeight="1" spans="1:4" s="20" customFormat="1" x14ac:dyDescent="0.25">
      <c r="A50" s="21" t="s">
        <v>808</v>
      </c>
      <c r="B50" s="22" t="s">
        <v>616</v>
      </c>
      <c r="C50" s="23">
        <f>COUNTIF(UI ComponentsManualUiUxCases[UX Category],"Preview resilience")</f>
        <v>1</v>
      </c>
      <c r="D50" s="22" t="s">
        <v>824</v>
      </c>
    </row>
    <row r="51" ht="27" customHeight="1" spans="1:4" s="20" customFormat="1" x14ac:dyDescent="0.25">
      <c r="A51" s="21" t="s">
        <v>808</v>
      </c>
      <c r="B51" s="22" t="s">
        <v>395</v>
      </c>
      <c r="C51" s="23">
        <f>COUNTIF(UI ComponentsManualUiUxCases[UX Category],"Resilience")</f>
        <v>2</v>
      </c>
      <c r="D51" s="22" t="s">
        <v>825</v>
      </c>
    </row>
    <row r="52" ht="27" customHeight="1" spans="1:4" s="20" customFormat="1" x14ac:dyDescent="0.25">
      <c r="A52" s="21" t="s">
        <v>808</v>
      </c>
      <c r="B52" s="22" t="s">
        <v>671</v>
      </c>
      <c r="C52" s="23">
        <f>COUNTIF(UI ComponentsManualUiUxCases[UX Category],"Responsive accessibility")</f>
        <v>1</v>
      </c>
      <c r="D52" s="22" t="s">
        <v>826</v>
      </c>
    </row>
    <row r="53" ht="27" customHeight="1" spans="1:4" s="20" customFormat="1" x14ac:dyDescent="0.25">
      <c r="A53" s="21" t="s">
        <v>808</v>
      </c>
      <c r="B53" s="22" t="s">
        <v>420</v>
      </c>
      <c r="C53" s="23">
        <f>COUNTIF(UI ComponentsManualUiUxCases[UX Category],"Search UX")</f>
        <v>1</v>
      </c>
      <c r="D53" s="22" t="s">
        <v>827</v>
      </c>
    </row>
    <row r="54" ht="27" customHeight="1" spans="1:4" s="20" customFormat="1" x14ac:dyDescent="0.25">
      <c r="A54" s="21" t="s">
        <v>808</v>
      </c>
      <c r="B54" s="22" t="s">
        <v>574</v>
      </c>
      <c r="C54" s="23">
        <f>COUNTIF(UI ComponentsManualUiUxCases[UX Category],"Transaction feedback")</f>
        <v>2</v>
      </c>
      <c r="D54" s="22" t="s">
        <v>828</v>
      </c>
    </row>
    <row r="55" ht="27" customHeight="1" spans="1:4" s="20" customFormat="1" x14ac:dyDescent="0.25">
      <c r="A55" s="21" t="s">
        <v>808</v>
      </c>
      <c r="B55" s="22" t="s">
        <v>705</v>
      </c>
      <c r="C55" s="23">
        <f>COUNTIF(UI ComponentsManualUiUxCases[UX Category],"UI performance")</f>
        <v>1</v>
      </c>
      <c r="D55" s="22" t="s">
        <v>829</v>
      </c>
    </row>
    <row r="56" ht="27" customHeight="1" spans="1:4" s="20" customFormat="1" x14ac:dyDescent="0.25">
      <c r="A56" s="21" t="s">
        <v>808</v>
      </c>
      <c r="B56" s="22" t="s">
        <v>367</v>
      </c>
      <c r="C56" s="23">
        <f>COUNTIF(UI ComponentsManualUiUxCases[UX Category],"Usability")</f>
        <v>2</v>
      </c>
      <c r="D56" s="22" t="s">
        <v>830</v>
      </c>
    </row>
    <row r="57" ht="27" customHeight="1" spans="1:4" s="20" customFormat="1" x14ac:dyDescent="0.25">
      <c r="A57" s="21" t="s">
        <v>808</v>
      </c>
      <c r="B57" s="22" t="s">
        <v>465</v>
      </c>
      <c r="C57" s="23">
        <f>COUNTIF(UI ComponentsManualUiUxCases[UX Category],"Usability and accessibility")</f>
        <v>1</v>
      </c>
      <c r="D57" s="22" t="s">
        <v>831</v>
      </c>
    </row>
    <row r="58" ht="27" customHeight="1" spans="1:4" s="20" customFormat="1" x14ac:dyDescent="0.25">
      <c r="A58" s="21" t="s">
        <v>808</v>
      </c>
      <c r="B58" s="22" t="s">
        <v>518</v>
      </c>
      <c r="C58" s="23">
        <f>COUNTIF(UI ComponentsManualUiUxCases[UX Category],"Validation and accessibility")</f>
        <v>1</v>
      </c>
      <c r="D58" s="22" t="s">
        <v>832</v>
      </c>
    </row>
    <row r="59" ht="27" customHeight="1" spans="1:4" s="20" customFormat="1" x14ac:dyDescent="0.25">
      <c r="A59" s="21" t="s">
        <v>808</v>
      </c>
      <c r="B59" s="22" t="s">
        <v>529</v>
      </c>
      <c r="C59" s="23">
        <f>COUNTIF(UI ComponentsManualUiUxCases[UX Category],"Validation UX")</f>
        <v>1</v>
      </c>
      <c r="D59" s="22" t="s">
        <v>833</v>
      </c>
    </row>
    <row r="60" ht="27" customHeight="1" spans="1:4" s="20" customFormat="1" x14ac:dyDescent="0.25">
      <c r="A60" s="21" t="s">
        <v>808</v>
      </c>
      <c r="B60" s="22" t="s">
        <v>628</v>
      </c>
      <c r="C60" s="23">
        <f>COUNTIF(UI ComponentsManualUiUxCases[UX Category],"Visual quality")</f>
        <v>1</v>
      </c>
      <c r="D60" s="22" t="s">
        <v>834</v>
      </c>
    </row>
    <row r="61" ht="27" customHeight="1" spans="1:4" s="20" customFormat="1" x14ac:dyDescent="0.25">
      <c r="A61" s="21" t="s">
        <v>808</v>
      </c>
      <c r="B61" s="22" t="s">
        <v>719</v>
      </c>
      <c r="C61" s="23">
        <f>COUNTIF(UI ComponentsManualUiUxCases[UX Category],"Visual regression")</f>
        <v>1</v>
      </c>
      <c r="D61" s="22" t="s">
        <v>835</v>
      </c>
    </row>
    <row r="62" ht="27" customHeight="1" spans="1:4" s="20" customFormat="1" x14ac:dyDescent="0.25">
      <c r="A62" s="21" t="s">
        <v>808</v>
      </c>
      <c r="B62" s="22" t="s">
        <v>477</v>
      </c>
      <c r="C62" s="23">
        <f>COUNTIF(UI ComponentsManualUiUxCases[UX Category],"Wizard usability")</f>
        <v>1</v>
      </c>
      <c r="D62" s="22" t="s">
        <v>836</v>
      </c>
    </row>
  </sheetData>
  <autoFilter ref="A4:D62"/>
  <mergeCells count="2">
    <mergeCell ref="A1:D1"/>
    <mergeCell ref="A2:D2"/>
  </mergeCells>
  <pageMargins left="0.25" right="0.25" top="0.5" bottom="0.5" header="0.2" footer="0.2"/>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F6B78"/>
    <pageSetUpPr fitToPage="1"/>
  </sheetPr>
  <dimension ref="A1:F23"/>
  <sheetViews>
    <sheetView workbookViewId="0" showGridLines="0">
      <pane ySplit="1" topLeftCell="A2" activePane="bottomLeft" state="frozen"/>
      <selection pane="bottomLeft"/>
    </sheetView>
  </sheetViews>
  <sheetFormatPr defaultRowHeight="15" outlineLevelRow="0" outlineLevelCol="0" x14ac:dyDescent="55"/>
  <cols>
    <col min="1" max="1" width="27" customWidth="1"/>
    <col min="2" max="2" width="23" customWidth="1"/>
    <col min="3" max="3" width="25" customWidth="1"/>
    <col min="4" max="4" width="12" customWidth="1"/>
    <col min="5" max="5" width="78" customWidth="1"/>
    <col min="6" max="6" width="48" customWidth="1"/>
  </cols>
  <sheetData>
    <row r="1" ht="30" customHeight="1" spans="1:6" s="24" customFormat="1" x14ac:dyDescent="0.25">
      <c r="A1" s="24" t="s">
        <v>837</v>
      </c>
      <c r="B1" s="24" t="s">
        <v>838</v>
      </c>
      <c r="C1" s="24" t="s">
        <v>839</v>
      </c>
      <c r="D1" s="24" t="s">
        <v>840</v>
      </c>
      <c r="E1" s="24" t="s">
        <v>841</v>
      </c>
      <c r="F1" s="24" t="s">
        <v>842</v>
      </c>
    </row>
    <row r="2" ht="42" customHeight="1" spans="1:6" s="4" customFormat="1" x14ac:dyDescent="0.25">
      <c r="A2" s="8" t="s">
        <v>60</v>
      </c>
      <c r="B2" s="4" t="s">
        <v>29</v>
      </c>
      <c r="C2" s="4" t="s">
        <v>843</v>
      </c>
      <c r="D2" s="4" t="s">
        <v>844</v>
      </c>
      <c r="E2" s="4" t="s">
        <v>845</v>
      </c>
      <c r="F2" s="4" t="s">
        <v>846</v>
      </c>
    </row>
    <row r="3" ht="42" customHeight="1" spans="1:6" s="4" customFormat="1" x14ac:dyDescent="0.25">
      <c r="A3" s="8" t="s">
        <v>62</v>
      </c>
      <c r="B3" s="4" t="s">
        <v>29</v>
      </c>
      <c r="C3" s="4" t="s">
        <v>843</v>
      </c>
      <c r="D3" s="4" t="s">
        <v>844</v>
      </c>
      <c r="E3" s="4" t="s">
        <v>847</v>
      </c>
      <c r="F3" s="4" t="s">
        <v>848</v>
      </c>
    </row>
    <row r="4" ht="42" customHeight="1" spans="1:6" s="4" customFormat="1" x14ac:dyDescent="0.25">
      <c r="A4" s="8" t="s">
        <v>64</v>
      </c>
      <c r="B4" s="4" t="s">
        <v>29</v>
      </c>
      <c r="C4" s="4" t="s">
        <v>843</v>
      </c>
      <c r="D4" s="4" t="s">
        <v>844</v>
      </c>
      <c r="E4" s="4" t="s">
        <v>849</v>
      </c>
      <c r="F4" s="4" t="s">
        <v>850</v>
      </c>
    </row>
    <row r="5" ht="42" customHeight="1" spans="1:6" s="4" customFormat="1" x14ac:dyDescent="0.25">
      <c r="A5" s="8" t="s">
        <v>65</v>
      </c>
      <c r="B5" s="4" t="s">
        <v>29</v>
      </c>
      <c r="C5" s="4" t="s">
        <v>843</v>
      </c>
      <c r="D5" s="4" t="s">
        <v>844</v>
      </c>
      <c r="E5" s="4" t="s">
        <v>851</v>
      </c>
      <c r="F5" s="4" t="s">
        <v>852</v>
      </c>
    </row>
    <row r="6" ht="42" customHeight="1" spans="1:6" s="4" customFormat="1" x14ac:dyDescent="0.25">
      <c r="A6" s="8" t="s">
        <v>66</v>
      </c>
      <c r="B6" s="4" t="s">
        <v>29</v>
      </c>
      <c r="C6" s="4" t="s">
        <v>843</v>
      </c>
      <c r="D6" s="4" t="s">
        <v>844</v>
      </c>
      <c r="E6" s="4" t="s">
        <v>853</v>
      </c>
      <c r="F6" s="4" t="s">
        <v>854</v>
      </c>
    </row>
    <row r="7" ht="42" customHeight="1" spans="1:6" s="4" customFormat="1" x14ac:dyDescent="0.25">
      <c r="A7" s="8" t="s">
        <v>67</v>
      </c>
      <c r="B7" s="4" t="s">
        <v>14</v>
      </c>
      <c r="C7" s="4" t="s">
        <v>843</v>
      </c>
      <c r="D7" s="4" t="s">
        <v>844</v>
      </c>
      <c r="E7" s="4" t="s">
        <v>855</v>
      </c>
      <c r="F7" s="4" t="s">
        <v>856</v>
      </c>
    </row>
    <row r="8" ht="42" customHeight="1" spans="1:6" s="4" customFormat="1" x14ac:dyDescent="0.25">
      <c r="A8" s="8" t="s">
        <v>349</v>
      </c>
      <c r="B8" s="4" t="s">
        <v>857</v>
      </c>
      <c r="C8" s="4" t="s">
        <v>843</v>
      </c>
      <c r="D8" s="4" t="s">
        <v>844</v>
      </c>
      <c r="E8" s="4" t="s">
        <v>858</v>
      </c>
      <c r="F8" s="4" t="s">
        <v>859</v>
      </c>
    </row>
    <row r="9" ht="42" customHeight="1" spans="1:6" s="4" customFormat="1" x14ac:dyDescent="0.25">
      <c r="A9" s="8" t="s">
        <v>68</v>
      </c>
      <c r="B9" s="4" t="s">
        <v>29</v>
      </c>
      <c r="C9" s="4" t="s">
        <v>843</v>
      </c>
      <c r="D9" s="4" t="s">
        <v>844</v>
      </c>
      <c r="E9" s="4" t="s">
        <v>860</v>
      </c>
      <c r="F9" s="4" t="s">
        <v>861</v>
      </c>
    </row>
    <row r="10" ht="42" customHeight="1" spans="1:6" s="4" customFormat="1" x14ac:dyDescent="0.25">
      <c r="A10" s="8" t="s">
        <v>862</v>
      </c>
      <c r="B10" s="4" t="s">
        <v>29</v>
      </c>
      <c r="C10" s="4" t="s">
        <v>843</v>
      </c>
      <c r="D10" s="4" t="s">
        <v>844</v>
      </c>
      <c r="E10" s="4" t="s">
        <v>863</v>
      </c>
      <c r="F10" s="4" t="s">
        <v>223</v>
      </c>
    </row>
    <row r="11" ht="42" customHeight="1" spans="1:6" s="4" customFormat="1" x14ac:dyDescent="0.25">
      <c r="A11" s="8" t="s">
        <v>351</v>
      </c>
      <c r="B11" s="4" t="s">
        <v>857</v>
      </c>
      <c r="C11" s="4" t="s">
        <v>843</v>
      </c>
      <c r="D11" s="4" t="s">
        <v>844</v>
      </c>
      <c r="E11" s="4" t="s">
        <v>864</v>
      </c>
      <c r="F11" s="4" t="s">
        <v>865</v>
      </c>
    </row>
    <row r="12" ht="42" customHeight="1" spans="1:6" s="4" customFormat="1" x14ac:dyDescent="0.25">
      <c r="A12" s="8" t="s">
        <v>71</v>
      </c>
      <c r="B12" s="4" t="s">
        <v>29</v>
      </c>
      <c r="C12" s="4" t="s">
        <v>843</v>
      </c>
      <c r="D12" s="4" t="s">
        <v>844</v>
      </c>
      <c r="E12" s="4" t="s">
        <v>866</v>
      </c>
      <c r="F12" s="4" t="s">
        <v>90</v>
      </c>
    </row>
    <row r="13" ht="42" customHeight="1" spans="1:6" s="4" customFormat="1" x14ac:dyDescent="0.25">
      <c r="A13" s="8" t="s">
        <v>72</v>
      </c>
      <c r="B13" s="4" t="s">
        <v>29</v>
      </c>
      <c r="C13" s="4" t="s">
        <v>843</v>
      </c>
      <c r="D13" s="4" t="s">
        <v>844</v>
      </c>
      <c r="E13" s="4" t="s">
        <v>867</v>
      </c>
      <c r="F13" s="4" t="s">
        <v>91</v>
      </c>
    </row>
    <row r="14" ht="42" customHeight="1" spans="1:6" s="4" customFormat="1" x14ac:dyDescent="0.25">
      <c r="A14" s="8" t="s">
        <v>73</v>
      </c>
      <c r="B14" s="4" t="s">
        <v>14</v>
      </c>
      <c r="C14" s="4" t="s">
        <v>843</v>
      </c>
      <c r="D14" s="4" t="s">
        <v>844</v>
      </c>
      <c r="E14" s="4" t="s">
        <v>868</v>
      </c>
      <c r="F14" s="4" t="s">
        <v>92</v>
      </c>
    </row>
    <row r="15" ht="42" customHeight="1" spans="1:6" s="4" customFormat="1" x14ac:dyDescent="0.25">
      <c r="A15" s="8" t="s">
        <v>74</v>
      </c>
      <c r="B15" s="4" t="s">
        <v>14</v>
      </c>
      <c r="C15" s="4" t="s">
        <v>843</v>
      </c>
      <c r="D15" s="4" t="s">
        <v>844</v>
      </c>
      <c r="E15" s="4" t="s">
        <v>869</v>
      </c>
      <c r="F15" s="4" t="s">
        <v>235</v>
      </c>
    </row>
    <row r="16" ht="42" customHeight="1" spans="1:6" s="4" customFormat="1" x14ac:dyDescent="0.25">
      <c r="A16" s="8" t="s">
        <v>27</v>
      </c>
      <c r="B16" s="4" t="s">
        <v>29</v>
      </c>
      <c r="C16" s="4" t="s">
        <v>843</v>
      </c>
      <c r="D16" s="4" t="s">
        <v>844</v>
      </c>
      <c r="E16" s="4" t="s">
        <v>870</v>
      </c>
      <c r="F16" s="4" t="s">
        <v>871</v>
      </c>
    </row>
    <row r="17" ht="42" customHeight="1" spans="1:6" s="4" customFormat="1" x14ac:dyDescent="0.25">
      <c r="A17" s="8" t="s">
        <v>30</v>
      </c>
      <c r="B17" s="4" t="s">
        <v>29</v>
      </c>
      <c r="C17" s="4" t="s">
        <v>843</v>
      </c>
      <c r="D17" s="4" t="s">
        <v>844</v>
      </c>
      <c r="E17" s="4" t="s">
        <v>872</v>
      </c>
      <c r="F17" s="4" t="s">
        <v>873</v>
      </c>
    </row>
    <row r="18" ht="42" customHeight="1" spans="1:6" s="4" customFormat="1" x14ac:dyDescent="0.25">
      <c r="A18" s="8" t="s">
        <v>76</v>
      </c>
      <c r="B18" s="4" t="s">
        <v>14</v>
      </c>
      <c r="C18" s="4" t="s">
        <v>843</v>
      </c>
      <c r="D18" s="4" t="s">
        <v>844</v>
      </c>
      <c r="E18" s="4" t="s">
        <v>874</v>
      </c>
      <c r="F18" s="4" t="s">
        <v>875</v>
      </c>
    </row>
    <row r="19" ht="42" customHeight="1" spans="1:6" s="4" customFormat="1" x14ac:dyDescent="0.25">
      <c r="A19" s="8" t="s">
        <v>353</v>
      </c>
      <c r="B19" s="4" t="s">
        <v>857</v>
      </c>
      <c r="C19" s="4" t="s">
        <v>844</v>
      </c>
      <c r="D19" s="4" t="s">
        <v>844</v>
      </c>
      <c r="E19" s="4" t="s">
        <v>876</v>
      </c>
      <c r="F19" s="4" t="s">
        <v>877</v>
      </c>
    </row>
    <row r="20" ht="42" customHeight="1" spans="1:6" s="4" customFormat="1" x14ac:dyDescent="0.25">
      <c r="A20" s="8" t="s">
        <v>354</v>
      </c>
      <c r="B20" s="4" t="s">
        <v>857</v>
      </c>
      <c r="C20" s="4" t="s">
        <v>844</v>
      </c>
      <c r="D20" s="4" t="s">
        <v>878</v>
      </c>
      <c r="E20" s="4" t="s">
        <v>879</v>
      </c>
      <c r="F20" s="4" t="s">
        <v>880</v>
      </c>
    </row>
    <row r="21" ht="42" customHeight="1" spans="1:6" s="4" customFormat="1" x14ac:dyDescent="0.25">
      <c r="A21" s="8" t="s">
        <v>881</v>
      </c>
      <c r="B21" s="4" t="s">
        <v>857</v>
      </c>
      <c r="C21" s="4" t="s">
        <v>844</v>
      </c>
      <c r="D21" s="4" t="s">
        <v>878</v>
      </c>
      <c r="E21" s="4" t="s">
        <v>882</v>
      </c>
      <c r="F21" s="4" t="s">
        <v>883</v>
      </c>
    </row>
    <row r="22" ht="42" customHeight="1" spans="1:6" s="4" customFormat="1" x14ac:dyDescent="0.25">
      <c r="A22" s="8" t="s">
        <v>357</v>
      </c>
      <c r="B22" s="4" t="s">
        <v>857</v>
      </c>
      <c r="C22" s="4" t="s">
        <v>844</v>
      </c>
      <c r="D22" s="4" t="s">
        <v>884</v>
      </c>
      <c r="E22" s="4" t="s">
        <v>885</v>
      </c>
      <c r="F22" s="4" t="s">
        <v>886</v>
      </c>
    </row>
    <row r="23" ht="42" customHeight="1" spans="1:6" s="4" customFormat="1" x14ac:dyDescent="0.25">
      <c r="A23" s="8" t="s">
        <v>358</v>
      </c>
      <c r="B23" s="4" t="s">
        <v>857</v>
      </c>
      <c r="C23" s="4" t="s">
        <v>844</v>
      </c>
      <c r="D23" s="4" t="s">
        <v>843</v>
      </c>
      <c r="E23" s="4" t="s">
        <v>887</v>
      </c>
      <c r="F23" s="4" t="s">
        <v>888</v>
      </c>
    </row>
  </sheetData>
  <pageMargins left="0.25" right="0.25" top="0.5" bottom="0.5" header="0.2" footer="0.2"/>
  <pageSetup paperSize="9" orientation="landscape" fitToWidth="1" fitToHeight="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Automated Cases</vt:lpstr>
      <vt:lpstr>Manual UI UX Cases</vt:lpstr>
      <vt:lpstr>Coverage Summary</vt:lpstr>
      <vt:lpstr>Field Reference</vt:lpstr>
    </vt:vector>
  </TitlesOfParts>
  <Company>Ledgers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Copilot Playwright</dc:creator>
  <dc:title>UI Components UI/UX Test Cases</dc:title>
  <dc:subject>Human-readable automated and manual UI/UX coverage for June UI Components</dc:subject>
  <dc:description>{"schemaVersion":1,"module":"UI Components","generatedAt":"2026-09-23T12:59:47.551Z","automatedCount":30,"manualCount":34,"sourceHashes":{"scripts/create-ui-ux-test-suites.mjs":"90e73e8f83f39210b5b5e5e9512fa2d4d35fca9e9506a6fac49188e225ff738d","test-cases/suite-tag-registry.mjs":"ee3c2d26fd81bb555b15bb3a6e0b07d21e57c35c7a05720dafafe30b29ababc4","test-cases/ui-ux-manual/index.mjs":"09e77d1a6d16bb5af7d92e3349e0d498032821b5c68385e24ed252131e3d320d","test-cases/ui-ux-manual/account.mjs":"a2b8c12598e6bc2af100f51d26fbc351d656d2c9491009262e5b75b9bedad49c","test-cases/ui-ux-manual/agents.mjs":"08fcdf480b75500707cff650322eb73399a4924899055fb1a7c0f561b22cddad","test-cases/ui-ux-manual/tools.mjs":"58aba157e933a3dca363858b7817a1ddc2d16817fb4c6ca4ed19d1da9df688c5","test-cases/ui-ux-manual/connectors.mjs":"f8b2529182a337902bb1661e83cd63096b8acbd8ee14a25ff0f82ded4d6d61e9","test-cases/ui-ux-manual/knowledge.mjs":"8ef1cc1a293c4cde86e332bef24be93a5c2f78aa2b0546b42c3dc3d659d11335","test-cases/ui-ux-manual/guardrails.mjs":"885446819076498f2a2ffd88536490d42cd3dd557815eae71854f7e81e731652","test-cases/ui-ux-manual/ui-components.mjs":"1c33fb8683959a2c0a6a816ff4e861d1b3b00dbb3b842eb89df9800561310b65","test-cases/ui-ux-manual/product-tour.mjs":"cce4527c3b65355aad554657854b02f29c4c9245445325048959cc98fc8cc609","test-data/ui-automation-test-catalog.xlsx":"75e99f00b93f022bbbb291602d4491b4c0180c0e61bd7b2e82a590106ec73dd0","test-data/ui-components-data-driven.xlsx":"4faee6faeaeed4fb8e07425679f41ed79598eed596862fd1cb74c71d86009cea","config/environments.json":"90fe37e6e777c7704ce19b19b103f9b48b12d74aae18e677c026ef7163c51661"},"workbookHash":"19c1fa32104023134871569a4be72dd1541ae6cf8449c6c9b1fef9742f6ec541"}</dc:description>
  <cp:keywords/>
  <cp:category/>
  <cp:lastModifiedBy>QA Copilot Playwright</cp:lastModifiedBy>
  <dcterms:created xsi:type="dcterms:W3CDTF">2026-09-23T12:59:47Z</dcterms:created>
  <dcterms:modified xsi:type="dcterms:W3CDTF">2026-09-23T12:59:47Z</dcterms:modified>
</cp:coreProperties>
</file>