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Automated Cases" state="visible" r:id="rId5"/>
    <sheet sheetId="3" name="Manual UI UX Cases" state="visible" r:id="rId6"/>
    <sheet sheetId="4" name="Coverage Summary" state="visible" r:id="rId7"/>
    <sheet sheetId="5" name="Field Reference" state="visible" r:id="rId8"/>
  </sheets>
  <definedNames>
    <definedName name="_xlnm.Print_Titles" localSheetId="1">'Automated Cases'!$1:$1</definedName>
    <definedName name="_xlnm.Print_Titles" localSheetId="2">'Manual UI UX Cases'!$1:$1</definedName>
  </definedNames>
  <calcPr calcId="171027" fullCalcOnLoad="1"/>
</workbook>
</file>

<file path=xl/sharedStrings.xml><?xml version="1.0" encoding="utf-8"?>
<sst xmlns="http://schemas.openxmlformats.org/spreadsheetml/2006/main" count="1785" uniqueCount="855">
  <si>
    <t>Agents UI/UX Test Suite</t>
  </si>
  <si>
    <t>Human-readable test design for review, execution and stakeholder sharing</t>
  </si>
  <si>
    <t>Topic</t>
  </si>
  <si>
    <t>Guidance</t>
  </si>
  <si>
    <t>Applies To</t>
  </si>
  <si>
    <t>Purpose</t>
  </si>
  <si>
    <t>Independent Agents UI/UX test-case workbook. Scope: Agent discovery, creation wizard, resource and access selection, persistence, update, security and cleanup.</t>
  </si>
  <si>
    <t>All sheets</t>
  </si>
  <si>
    <t>Coverage</t>
  </si>
  <si>
    <t>30 current automated cases plus 34 additional manual UI/UX cases.</t>
  </si>
  <si>
    <t>Summary</t>
  </si>
  <si>
    <t>Existing data preserved</t>
  </si>
  <si>
    <t>The runtime workbook test-data/agents-data-driven.xlsx remains unchanged and continues to drive Playwright.</t>
  </si>
  <si>
    <t>Automation</t>
  </si>
  <si>
    <t>Automated Cases</t>
  </si>
  <si>
    <t>Plain-language view of the current Playwright coverage. Actions and assertions remain in code; test data remains in the runtime workbook.</t>
  </si>
  <si>
    <t>Manual UI/UX Cases</t>
  </si>
  <si>
    <t>Visual, usability, accessibility, responsive, feedback and compatibility checks that require human observation or assistive tools.</t>
  </si>
  <si>
    <t>Execute automation</t>
  </si>
  <si>
    <t>From the repository root: npm.cmd run env:run -- &lt;dev|uat|live&gt; agents. Append --headed for visible Chrome.</t>
  </si>
  <si>
    <t>Manual status</t>
  </si>
  <si>
    <t>Update only Status, Actual Result, Executed By, Executed On, Defect ID and Remarks while executing manual cases.</t>
  </si>
  <si>
    <t>Manual execution preservation</t>
  </si>
  <si>
    <t>Regeneration matches Manual UI UX Cases by Test Case ID and carries forward the editable execution fields for IDs that remain.</t>
  </si>
  <si>
    <t>Most important cases</t>
  </si>
  <si>
    <t>P0 is highest priority and is highlighted red; P1 is highlighted orange. The eight @smoke and @prod-smoke rows are the minimum read-only critical path, while @sanity is the broader fast confidence pack.</t>
  </si>
  <si>
    <t>Priority and suite tags</t>
  </si>
  <si>
    <t>Test Suites</t>
  </si>
  <si>
    <t>Registry-derived reusable packs such as Functional, Non-Functional, Smoke, Sanity, Regression, Accessibility, Performance and UAT.</t>
  </si>
  <si>
    <t>Both case sheets</t>
  </si>
  <si>
    <t>Execution Tags</t>
  </si>
  <si>
    <t>Automated rows contain registry tags synchronized to Playwright titles. Manual rows use reporting/filter tags and also include @manual, the module slug and normalized UX category.</t>
  </si>
  <si>
    <t>Run tagged automation</t>
  </si>
  <si>
    <t>Use npm.cmd run test:smoke, test:sanity, test:regression, test:security, test:a11y, test:api, test:e2e:tagged or test:integration. Each command selects the eight primary module files in Chrome.</t>
  </si>
  <si>
    <t>Environment-specific packs</t>
  </si>
  <si>
    <t>Use npm.cmd run test:uat:tagged for the UAT acceptance pack. npm.cmd run test:prod-smoke runs only the eight curated read-only @prod-smoke cases in LIVE.</t>
  </si>
  <si>
    <t>Manual-only packs</t>
  </si>
  <si>
    <t>Responsive, compatibility, visual-regression, performance, localization and exploratory tags identify designed manual reviews unless a row is explicitly present in Automated Cases.</t>
  </si>
  <si>
    <t>Retest</t>
  </si>
  <si>
    <t>Retest is defect-specific and intentionally not assigned statically; select the affected case when validating a particular fix.</t>
  </si>
  <si>
    <t>Execution planning</t>
  </si>
  <si>
    <t>Automation evidence</t>
  </si>
  <si>
    <t>Each executed Pass or Fail case automatically adds a privacy-masked final screenshot to the same Test Case ID row in the per-run Excel report under test-results/&lt;environment&gt;/excel. The row also links to the full image in its evidence folder; this static design workbook remains unchanged.</t>
  </si>
  <si>
    <t>Automated execution</t>
  </si>
  <si>
    <t>Manual evidence</t>
  </si>
  <si>
    <t>Attach screenshots, videos, accessibility output or defect links in the team test-management location; reference the Test Case ID.</t>
  </si>
  <si>
    <t>Manual execution</t>
  </si>
  <si>
    <t>Environment safety</t>
  </si>
  <si>
    <t>Use approved synthetic data. Review Write Operation cases before LIVE execution and confirm environment-specific accounts and permissions.</t>
  </si>
  <si>
    <t>All execution</t>
  </si>
  <si>
    <t>Expected results</t>
  </si>
  <si>
    <t>Results are written as observable outcomes so product, design, QA and engineering readers can interpret them consistently.</t>
  </si>
  <si>
    <t>All cases</t>
  </si>
  <si>
    <t>UI/UX scope</t>
  </si>
  <si>
    <t>API-only fields such as HTTP method, response status, JSONPath and response timing are outside this UI/UX workbook scope.</t>
  </si>
  <si>
    <t>Workbook design</t>
  </si>
  <si>
    <t>Regenerate</t>
  </si>
  <si>
    <t>From the repository root: npm.cmd run data:ui-ux-suites</t>
  </si>
  <si>
    <t>Maintenance</t>
  </si>
  <si>
    <t>Sequence</t>
  </si>
  <si>
    <t>Test Case ID</t>
  </si>
  <si>
    <t>Module</t>
  </si>
  <si>
    <t>Feature / Area</t>
  </si>
  <si>
    <t>Test Case Title</t>
  </si>
  <si>
    <t>Objective</t>
  </si>
  <si>
    <t>Preconditions</t>
  </si>
  <si>
    <t>Test Steps</t>
  </si>
  <si>
    <t>Test Data / Inputs</t>
  </si>
  <si>
    <t>Expected Result</t>
  </si>
  <si>
    <t>Category</t>
  </si>
  <si>
    <t>Scenario Type</t>
  </si>
  <si>
    <t>Priority</t>
  </si>
  <si>
    <t>Severity</t>
  </si>
  <si>
    <t>Automation Status</t>
  </si>
  <si>
    <t>Write Operation</t>
  </si>
  <si>
    <t>Environment</t>
  </si>
  <si>
    <t>Tags</t>
  </si>
  <si>
    <t>Source</t>
  </si>
  <si>
    <t>Notes</t>
  </si>
  <si>
    <t>AF-001</t>
  </si>
  <si>
    <t>Agents</t>
  </si>
  <si>
    <t>Agent navigation</t>
  </si>
  <si>
    <t>Open the Agents module</t>
  </si>
  <si>
    <t>Verify authenticated entry to the Agents module and its primary controls.</t>
  </si>
  <si>
    <t>1. A valid authenticated June session is available.</t>
  </si>
  <si>
    <t xml:space="preserve">1. Open the Agents page.
2. Verify the Agents heading.
3. Verify Search agents, Create Agent, scope and sort controls.</t>
  </si>
  <si>
    <t>No additional row data. Uses shared module settings and current page state.</t>
  </si>
  <si>
    <t>The Agents page opens in the authenticated business and exposes its discovery and creation controls.</t>
  </si>
  <si>
    <t>Functional</t>
  </si>
  <si>
    <t>Positive</t>
  </si>
  <si>
    <t>P1</t>
  </si>
  <si>
    <t>Major</t>
  </si>
  <si>
    <t>Automated</t>
  </si>
  <si>
    <t>NO</t>
  </si>
  <si>
    <t>Configured DEV / UAT / LIVE</t>
  </si>
  <si>
    <t>Functional, Smoke, Production Smoke, Sanity, Regression, UAT</t>
  </si>
  <si>
    <t>@functional @smoke @prod-smoke @sanity @regression @uat</t>
  </si>
  <si>
    <t>flow, smoke, agents, navigation</t>
  </si>
  <si>
    <t>agents-data-driven.xlsx</t>
  </si>
  <si>
    <t/>
  </si>
  <si>
    <t>AF-002</t>
  </si>
  <si>
    <t>Agent discovery</t>
  </si>
  <si>
    <t>Search for a visible agent and clear the search</t>
  </si>
  <si>
    <t>Verify exact live-agent discovery and restoration of the original list.</t>
  </si>
  <si>
    <t xml:space="preserve">1. A valid authenticated June session is available.
2. The active business contains at least one visible agent.</t>
  </si>
  <si>
    <t xml:space="preserve">1. Open the Agents page.
2. Capture the visible agent names and count.
3. Search with the first visible agent name.
4. Verify every result matches the search value.
5. Clear the search field.
6. Verify the original agent list returns.</t>
  </si>
  <si>
    <t>Search returns only matching agents and clearing restores the original visible list.</t>
  </si>
  <si>
    <t>Functional, Sanity, Regression, UAT</t>
  </si>
  <si>
    <t>@functional @sanity @regression @uat</t>
  </si>
  <si>
    <t>flow, agents, search, regression</t>
  </si>
  <si>
    <t>AF-003</t>
  </si>
  <si>
    <t>Exercise every recorded Agent scope</t>
  </si>
  <si>
    <t>Verify All, My Agents, Public Agents and Shared Agents scope requests.</t>
  </si>
  <si>
    <t xml:space="preserve">1. Open the Agents page.
2. Select All.
3. Select My Agents.
4. Select Public Agents.
5. Select Shared Agents.
6. Verify each selected scope becomes active and its request succeeds.</t>
  </si>
  <si>
    <t>Scopes: All, My Agents, Public Agents, Shared Agents</t>
  </si>
  <si>
    <t>Every recorded Agent scope becomes active and loads without an API or page error.</t>
  </si>
  <si>
    <t>Functional, Regression</t>
  </si>
  <si>
    <t>@functional @regression</t>
  </si>
  <si>
    <t>flow, agents, scope, filter</t>
  </si>
  <si>
    <t>AF-004</t>
  </si>
  <si>
    <t>Sort agents by every recorded option</t>
  </si>
  <si>
    <t>Verify ascending, descending and last-modified ordering.</t>
  </si>
  <si>
    <t xml:space="preserve">1. A valid authenticated June session is available.
2. The active scope contains at least two visible agents.</t>
  </si>
  <si>
    <t xml:space="preserve">1. Open the Agents page.
2. Sort by Ascending.
3. Capture the ascending agent names.
4. Sort by Descending.
5. Verify the names are in reverse order.
6. Sort by Last Modified.</t>
  </si>
  <si>
    <t>Sort Options: Ascending, Descending, Last Modified</t>
  </si>
  <si>
    <t>All three sort choices apply without losing agents and descending reverses the ascending name order.</t>
  </si>
  <si>
    <t>flow, agents, sort, regression</t>
  </si>
  <si>
    <t>AF-005</t>
  </si>
  <si>
    <t>Navigate through New Chat, Search Chats and Exchange</t>
  </si>
  <si>
    <t>Verify primary sidebar destinations without sending a chat message.</t>
  </si>
  <si>
    <t xml:space="preserve">1. Open the Agents page.
2. Open New Chat.
3. Enter the configured unsent chat draft.
4. Open Search Chats.
5. Search the Agents chat tab with the configured value.
6. Close Search Chats.
7. Open Exchange.
8. Return to Agents.</t>
  </si>
  <si>
    <t xml:space="preserve">Chat Draft: Hello
Chat Search: s
Exchange Search Placeholder: Search exchange agents...</t>
  </si>
  <si>
    <t>Each destination displays its recorded controls, the draft is not submitted, and the Agents page can be reopened.</t>
  </si>
  <si>
    <t>flow, agents, navigation, chat, exchange</t>
  </si>
  <si>
    <t>AF-006</t>
  </si>
  <si>
    <t>Agent creation form</t>
  </si>
  <si>
    <t>Show every Agent field, tab and live length constraint</t>
  </si>
  <si>
    <t>Verify the recorded creation controls and live maximum lengths.</t>
  </si>
  <si>
    <t xml:space="preserve">1. Open Create Agent.
2. Verify Name, Model, Description and Initial Prompt controls.
3. Verify the current Create action is available.
4. Verify Information, Instructions, Tools, Connectors, Swarm, Knowledge, Guardrail, UI Component and Access tabs.
5. Verify Name accepts at most 100 characters.
6. Verify Description accepts at most 1000 characters.
7. Verify Initial Prompt accepts at most 100 characters.
8. Cancel the draft.</t>
  </si>
  <si>
    <t xml:space="preserve">Tabs: Information, Instructions, Tools, Connectors, Swarm, Knowledge, Guardrail, UI Component, Access
Required Fields: Name, Model, Description, Initial Prompt
Name Max Length: 100
Description Max Length: 1000
Initial Prompt Max Length: 100</t>
  </si>
  <si>
    <t>All recorded fields and tabs are available and expose the 100, 1000 and 100 character live limits.</t>
  </si>
  <si>
    <t>flow, agents, create, form, constraints</t>
  </si>
  <si>
    <t>AF-007</t>
  </si>
  <si>
    <t>Validate the model and select the recorded country</t>
  </si>
  <si>
    <t>Verify a missing model blocks creation and GPT o3-mini plus the configured country can be selected.</t>
  </si>
  <si>
    <t xml:space="preserve">1. Open Create Agent.
2. Leave Model unselected and attempt to create the Agent.
3. Verify Information remains active.
4. Open the model selector.
5. Select GPT o3-mini.
6. Open the country selector.
7. Select the configured country.
8. Cancel the draft.</t>
  </si>
  <si>
    <t xml:space="preserve">Model: {{MODEL}}
Country: {{COUNTRY}}
Providers: OpenAI, Claude, Grok, Bedrock
Open Ai Models: GPT 4o, GPT 4o mini, GPT o1, GPT o3, GPT o3-mini, GPT o4-mini</t>
  </si>
  <si>
    <t>A missing Model blocks progression and GPT o3-mini plus the configured country remain selected until cancellation.</t>
  </si>
  <si>
    <t>Positive + Negative</t>
  </si>
  <si>
    <t>flow, agents, model, country, positive</t>
  </si>
  <si>
    <t>AF-008</t>
  </si>
  <si>
    <t>Agent creation validation</t>
  </si>
  <si>
    <t>Reject a missing Agent name</t>
  </si>
  <si>
    <t>Verify Name is required before an Agent can be created.</t>
  </si>
  <si>
    <t xml:space="preserve">1. Open Create Agent.
2. Leave Name empty.
3. Select the configured model and country.
4. Enter a valid Description.
5. Enter a valid Initial Prompt.
6. Choose Create.</t>
  </si>
  <si>
    <t xml:space="preserve">Name: 
Description: {{CREATED_DESCRIPTION}}
Initial Prompt: {{INITIAL_PROMPT}}
Model: {{MODEL}}
Country: {{COUNTRY}}</t>
  </si>
  <si>
    <t>A missing Name is rejected and the wizard cannot advance from Information.</t>
  </si>
  <si>
    <t>Negative</t>
  </si>
  <si>
    <t>Critical</t>
  </si>
  <si>
    <t>flow, negative, agents, validation, required-name</t>
  </si>
  <si>
    <t>AF-009</t>
  </si>
  <si>
    <t>Reject a missing Agent description</t>
  </si>
  <si>
    <t>Verify Description is required before an Agent can be created.</t>
  </si>
  <si>
    <t xml:space="preserve">1. Open Create Agent.
2. Enter a valid draft Name.
3. Select the configured model and country.
4. Leave Description empty.
5. Enter a valid Initial Prompt.
6. Choose Create.</t>
  </si>
  <si>
    <t xml:space="preserve">Name: {{DRAFT_NAME}}
Description: 
Initial Prompt: {{INITIAL_PROMPT}}
Model: {{MODEL}}
Country: {{COUNTRY}}</t>
  </si>
  <si>
    <t>A missing Description is rejected and the wizard cannot advance from Information.</t>
  </si>
  <si>
    <t>flow, negative, agents, validation, required-description</t>
  </si>
  <si>
    <t>AF-010</t>
  </si>
  <si>
    <t>Reject whitespace-only Agent basics</t>
  </si>
  <si>
    <t>Verify required text is trimmed before validation.</t>
  </si>
  <si>
    <t xml:space="preserve">1. Open Create Agent.
2. Enter spaces in Name.
3. Enter spaces in Description.
4. Enter spaces in Initial Prompt.
5. Select the configured model and country.
6. Inspect native validity without submitting an unsafe blank-name record.</t>
  </si>
  <si>
    <t xml:space="preserve">Whitespace Name:    
Whitespace Description:    
Whitespace Initial Prompt:    
Model: {{MODEL}}
Country: {{COUNTRY}}</t>
  </si>
  <si>
    <t>Whitespace-only Name, Description and Initial Prompt values are rejected and no Agent is created.</t>
  </si>
  <si>
    <t>flow, negative, agents, validation, whitespace</t>
  </si>
  <si>
    <t>AF-011</t>
  </si>
  <si>
    <t>Enforce the 100-character Agent name boundary</t>
  </si>
  <si>
    <t>Verify the exact live boundary for Agent Name.</t>
  </si>
  <si>
    <t xml:space="preserve">1. Open Create Agent.
2. Enter exactly 100 characters in Name.
3. Verify all 100 characters are retained.
4. Attempt to enter a 101st character.
5. Verify the 101st character is rejected.
6. Cancel the draft.</t>
  </si>
  <si>
    <t xml:space="preserve">Max Length: 100
Boundary Character: n
Overflow Character: x</t>
  </si>
  <si>
    <t>Name accepts exactly 100 characters and rejects the 101st character.</t>
  </si>
  <si>
    <t>flow, agents, boundary, name, validation</t>
  </si>
  <si>
    <t>AF-012</t>
  </si>
  <si>
    <t>Enforce the 1000-character Agent description boundary</t>
  </si>
  <si>
    <t>Verify the exact live boundary for Agent Description.</t>
  </si>
  <si>
    <t xml:space="preserve">1. Open Create Agent.
2. Enter exactly 1000 characters in Description.
3. Verify all 1000 characters are retained.
4. Attempt to enter a 1001st character.
5. Verify the 1001st character is rejected.
6. Cancel the draft.</t>
  </si>
  <si>
    <t xml:space="preserve">Max Length: 1000
Boundary Character: d
Overflow Character: x</t>
  </si>
  <si>
    <t>Description accepts exactly 1000 characters and rejects the 1001st character.</t>
  </si>
  <si>
    <t>flow, agents, boundary, description, validation</t>
  </si>
  <si>
    <t>AF-013</t>
  </si>
  <si>
    <t>Enforce the 100-character Initial Prompt boundary</t>
  </si>
  <si>
    <t>Verify the exact live boundary for Initial Prompt.</t>
  </si>
  <si>
    <t xml:space="preserve">1. Open Create Agent.
2. Enter valid Name and Description values.
3. Select the configured model and country.
4. Enter exactly 100 characters in Initial Prompt.
5. Verify all 100 characters are retained.
6. Attempt to enter a 101st character.
7. Verify the 101st character is rejected.
8. Cancel the draft.</t>
  </si>
  <si>
    <t xml:space="preserve">Max Length: 100
Boundary Character: p
Overflow Character: x</t>
  </si>
  <si>
    <t>Initial Prompt accepts exactly 100 characters and rejects the 101st character.</t>
  </si>
  <si>
    <t>flow, agents, boundary, initial-prompt, validation</t>
  </si>
  <si>
    <t>AF-014</t>
  </si>
  <si>
    <t>Agent wizard</t>
  </si>
  <si>
    <t>Preserve Agent values across tabs and Back or Next</t>
  </si>
  <si>
    <t>Verify valid Information, Initial Prompt and Instructions survive navigation.</t>
  </si>
  <si>
    <t xml:space="preserve">1. Enter valid Information values including Initial Prompt.
2. Choose Next to open Instructions.
3. Enter the configured Instructions.
4. Navigate forward through the wizard tabs.
5. Navigate back to Instructions and Information.
6. Verify every entered value.
7. Cancel the draft.</t>
  </si>
  <si>
    <t xml:space="preserve">Initial Prompt: {{INITIAL_PROMPT}}
Instructions: {{INSTRUCTIONS}}</t>
  </si>
  <si>
    <t>Information, Initial Prompt and Instructions remain unchanged across forward and backward wizard navigation.</t>
  </si>
  <si>
    <t>flow, positive, agents, wizard, data-integrity</t>
  </si>
  <si>
    <t>AF-015</t>
  </si>
  <si>
    <t>Agent resources</t>
  </si>
  <si>
    <t>Exercise every Agent resource tab without selecting live data</t>
  </si>
  <si>
    <t>Verify resource tabs and unmatched searches without attaching unrelated business records.</t>
  </si>
  <si>
    <t xml:space="preserve">1. Enter valid Agent information.
2. Open Tools.
3. Open Connectors.
4. Open Swarm.
5. Open Knowledge.
6. Open Guardrail.
7. Open UI Component.
8. Search each searchable resource with the configured unmatched value.
9. Verify no unrelated resource is selected.
10. Cancel the draft.</t>
  </si>
  <si>
    <t xml:space="preserve">Resource Tabs: Tools, Connectors, Swarm, Knowledge, Guardrail, UI Component
Resource Search: qa-resource-does-not-exist</t>
  </si>
  <si>
    <t>Every recorded resource tab opens and unmatched searches attach no live business resource.</t>
  </si>
  <si>
    <t>Functional, Regression, Integration</t>
  </si>
  <si>
    <t>@functional @regression @integration</t>
  </si>
  <si>
    <t>flow, agents, resources, tools, connectors, guardrails</t>
  </si>
  <si>
    <t>AF-016</t>
  </si>
  <si>
    <t>Agent access</t>
  </si>
  <si>
    <t>Validate User and Public Agent access modes</t>
  </si>
  <si>
    <t>Verify both access modes and an unmatched employee search.</t>
  </si>
  <si>
    <t xml:space="preserve">1. Enter valid Agent information.
2. Open Access.
3. Select User.
4. Search with the configured unmatched employee email.
5. Verify Selected Users remains zero.
6. Select Public.
7. Verify Public becomes active.
8. Return to User and cancel the draft.</t>
  </si>
  <si>
    <t xml:space="preserve">Access Modes: User, Public
User Tab: User
Public Tab: Public
Access Search: qa-employee-does-not-exist@example.invalid
Selected Users Text: Selected Users (0)</t>
  </si>
  <si>
    <t>User and Public access modes activate correctly and an unmatched employee search selects nobody.</t>
  </si>
  <si>
    <t>flow, agents, access, user, public</t>
  </si>
  <si>
    <t>AF-017</t>
  </si>
  <si>
    <t>Agent cancellation</t>
  </si>
  <si>
    <t>Cancel an Agent draft without persistence</t>
  </si>
  <si>
    <t>Verify a uniquely named valid draft creates no Agent.</t>
  </si>
  <si>
    <t xml:space="preserve">1. Open Create Agent.
2. Enter the unique configured draft values.
3. Choose Next to open Instructions.
4. Cancel the wizard.
5. Search for the exact draft name.</t>
  </si>
  <si>
    <t>The cancelled Agent draft is absent from the Agent list.</t>
  </si>
  <si>
    <t>flow, agents, cancel, persistence</t>
  </si>
  <si>
    <t>AF-018</t>
  </si>
  <si>
    <t>Agent input security</t>
  </si>
  <si>
    <t>Escape XSS payloads in Agent draft fields</t>
  </si>
  <si>
    <t>Verify unsaved Agent text is rendered as data and does not execute script.</t>
  </si>
  <si>
    <t xml:space="preserve">1. Open Create Agent.
2. Enter the configured XSS marker in each recorded free-text draft field.
3. Navigate between wizard tabs.
4. Verify the execution marker is unset.
5. Cancel the draft.</t>
  </si>
  <si>
    <t xml:space="preserve">Xss Payload: {{XSS_MARKER}}
Draft Fields: Name, Description, Initial Prompt, Instructions</t>
  </si>
  <si>
    <t>The XSS marker never executes and cancelling the draft persists no payload.</t>
  </si>
  <si>
    <t>Security</t>
  </si>
  <si>
    <t>Functional, Non-Functional, Regression, Security</t>
  </si>
  <si>
    <t>@functional @non-functional @regression @security</t>
  </si>
  <si>
    <t>flow, security, agents, xss, input</t>
  </si>
  <si>
    <t>AF-019</t>
  </si>
  <si>
    <t>Agent creation</t>
  </si>
  <si>
    <t>Create a date-time-stamped synthetic Agent</t>
  </si>
  <si>
    <t>Create one traceable Agent using the configured run timestamp and safe resources.</t>
  </si>
  <si>
    <t xml:space="preserve">1. A valid authenticated June session is available.
2. The selected QA business permits Agent creation.</t>
  </si>
  <si>
    <t xml:space="preserve">1. Open Create Agent.
2. Enter the date-time-stamped Name and Description.
3. Select GPT o3-mini and the configured country.
4. Enter the configured Initial Prompt.
5. Generate Agent details.
6. Enter the configured Instructions.
7. Leave unrelated live resources unselected.
8. Select User access.
9. Create the Agent.
10. Search for the exact generated name.</t>
  </si>
  <si>
    <t xml:space="preserve">Model: {{MODEL}}
Country: {{COUNTRY}}
Initial Prompt: {{INITIAL_PROMPT}}
Instructions: {{INSTRUCTIONS}}
Access Mode: User
Create Button: Create</t>
  </si>
  <si>
    <t>Exactly one date-time-stamped synthetic Agent is created and visible in the active business.</t>
  </si>
  <si>
    <t>End to end</t>
  </si>
  <si>
    <t>YES</t>
  </si>
  <si>
    <t>Functional, Regression, End-to-End, Integration</t>
  </si>
  <si>
    <t>@functional @regression @e2e @integration</t>
  </si>
  <si>
    <t>flow, write, agents, create, date-time</t>
  </si>
  <si>
    <t>AF-020</t>
  </si>
  <si>
    <t>Agent creation verification</t>
  </si>
  <si>
    <t>Verify every persisted Agent creation value</t>
  </si>
  <si>
    <t>Reopen the synthetic Agent and compare persisted values with Excel-driven input.</t>
  </si>
  <si>
    <t>1. AF-019 created the synthetic Agent in this run.</t>
  </si>
  <si>
    <t xml:space="preserve">1. Open the exact synthetic Agent action menu.
2. Choose Edit Agent.
3. Verify Name, Description, Model and Country.
4. Verify Initial Prompt and Instructions.
5. Verify no unrelated resource is selected.
6. Verify User access is active.
7. Cancel without changing data.</t>
  </si>
  <si>
    <t xml:space="preserve">Model: {{MODEL}}
Country: {{COUNTRY}}
Access Mode: User</t>
  </si>
  <si>
    <t>Every configured creation value is persisted exactly and no unrelated resource or user is attached.</t>
  </si>
  <si>
    <t>flow, agents, verify, persistence, date-time</t>
  </si>
  <si>
    <t>AF-021</t>
  </si>
  <si>
    <t>Agent edit validation</t>
  </si>
  <si>
    <t>Validate required Agent fields while editing</t>
  </si>
  <si>
    <t>Verify required-field rules remain enforced for the persisted Agent.</t>
  </si>
  <si>
    <t xml:space="preserve">1. Open Edit Agent for the exact synthetic Agent.
2. Clear Name and attempt to update.
3. Restore Name.
4. Clear Description and attempt to update.
5. Restore Description.
6. Clear Initial Prompt and attempt to update.
7. Try whitespace-only Name, Description and Initial Prompt.
8. Restore every original value.</t>
  </si>
  <si>
    <t xml:space="preserve">Invalid Edits: 1) Label=name is empty, Name=, Description={{CREATED_DESCRIPTION}}, Initial Prompt={{INITIAL_PROMPT}}; 2) Label=description is empty, Name={{AGENT_NAME}}, Description=, Initial Prompt={{INITIAL_PROMPT}}; 3) Label=initial prompt is empty, Name={{AGENT_NAME}}, Description={{CREATED_DESCRIPTION}}, Initial Prompt=; 4) Label=required text is whitespace only, Name=   , Description=   , Initial Prompt=   
Update Button: Update</t>
  </si>
  <si>
    <t>Empty and whitespace-only Name, Description and Initial Prompt edits are rejected and the persisted Agent remains unchanged.</t>
  </si>
  <si>
    <t>Functional, Regression, End-to-End</t>
  </si>
  <si>
    <t>@functional @regression @e2e</t>
  </si>
  <si>
    <t>flow, negative, agents, edit, validation</t>
  </si>
  <si>
    <t>AF-022</t>
  </si>
  <si>
    <t>Agent update</t>
  </si>
  <si>
    <t>Rename and update the synthetic Agent with date and time</t>
  </si>
  <si>
    <t>Update the run-owned Agent with traceable date-time-stamped values.</t>
  </si>
  <si>
    <t xml:space="preserve">1. Open Edit Agent for the exact synthetic Agent.
2. Replace Name and Description with the configured update values.
3. Keep GPT o3-mini and the configured country selected.
4. Replace Initial Prompt and Instructions with the configured update values.
5. Update the Agent.
6. Search for the exact updated name.</t>
  </si>
  <si>
    <t xml:space="preserve">Updated Initial Prompt: {{UPDATED_INITIAL_PROMPT}}
Updated Instructions: {{UPDATED_INSTRUCTIONS}}
Model: {{MODEL}}
Country: {{COUNTRY}}
Update Button: Update</t>
  </si>
  <si>
    <t>The Agent is renamed once and the updated date-time-stamped values are saved under the same record.</t>
  </si>
  <si>
    <t>flow, write, agents, update, date-time</t>
  </si>
  <si>
    <t>AF-023</t>
  </si>
  <si>
    <t>Agent update verification</t>
  </si>
  <si>
    <t>Verify every persisted Agent update</t>
  </si>
  <si>
    <t>Reopen the updated Agent and verify all updated and retained values.</t>
  </si>
  <si>
    <t>1. AF-022 updated the synthetic Agent in this run.</t>
  </si>
  <si>
    <t xml:space="preserve">1. Open Edit Agent for the exact updated Agent.
2. Verify updated Name and Description.
3. Verify GPT o3-mini and Country remain selected.
4. Verify updated Initial Prompt and Instructions.
5. Verify User access and empty unrelated resources remain unchanged.
6. Cancel without changing data.</t>
  </si>
  <si>
    <t>All updated values persist exactly while model, country, access and unselected resource state remain intact.</t>
  </si>
  <si>
    <t>flow, agents, verify, update, data-integrity</t>
  </si>
  <si>
    <t>AF-024</t>
  </si>
  <si>
    <t>Agent discovery and actions</t>
  </si>
  <si>
    <t>Find the updated Agent and restrict its card actions</t>
  </si>
  <si>
    <t>Verify exact-name discovery and the recorded safe action allowlist.</t>
  </si>
  <si>
    <t xml:space="preserve">1. Search for the exact updated Agent name.
2. Verify exactly one matching Agent card.
3. Open its action menu.
4. Verify Edit Agent and Delete are available.
5. Close the menu without changing data.</t>
  </si>
  <si>
    <t>Expected Menu Items: Edit Agent, Delete</t>
  </si>
  <si>
    <t>Exact search returns only the updated Agent and its action menu contains Edit Agent and Delete.</t>
  </si>
  <si>
    <t>flow, agents, search, actions, regression</t>
  </si>
  <si>
    <t>AF-025</t>
  </si>
  <si>
    <t>Agent search security</t>
  </si>
  <si>
    <t>Handle injection-shaped Agent searches safely</t>
  </si>
  <si>
    <t>Verify SQL, NoSQL and XSS-shaped list searches remain inert.</t>
  </si>
  <si>
    <t xml:space="preserve">1. Open the Agents page.
2. Enter each configured injection-shaped value in Search agents.
3. Verify the page remains responsive.
4. Verify no script execution marker is set.
5. Clear search and verify normal controls return.</t>
  </si>
  <si>
    <t>Search Payloads: {{SQL_INJECTION_MARKER}}, {"$ne":null}, {{XSS_MARKER}}</t>
  </si>
  <si>
    <t>Injection-shaped searches execute no code, expose no error details and do not corrupt the Agent list.</t>
  </si>
  <si>
    <t>flow, security, agents, search, injection</t>
  </si>
  <si>
    <t>AF-026</t>
  </si>
  <si>
    <t>Agent data protection</t>
  </si>
  <si>
    <t>Keep synthetic Agent secrets out of URLs and closed DOM</t>
  </si>
  <si>
    <t>Verify sensitive-shaped draft text is removed when the wizard closes.</t>
  </si>
  <si>
    <t xml:space="preserve">1. Open Create Agent.
2. Enter the configured synthetic secret in a draft text field.
3. Verify the browser URL does not contain the synthetic secret.
4. Cancel the draft.
5. Verify the closed DOM does not contain the synthetic secret.</t>
  </si>
  <si>
    <t>Secret Value: {{SYNTHETIC_SECRET_PREFIX}}-{{RUN_COMPACT}}</t>
  </si>
  <si>
    <t>The synthetic secret never appears in the URL and is absent from the DOM after the draft closes.</t>
  </si>
  <si>
    <t>flow, security, agents, secret, data-protection</t>
  </si>
  <si>
    <t>AF-027</t>
  </si>
  <si>
    <t>Agent access security</t>
  </si>
  <si>
    <t>Prevent access-search injection from selecting users</t>
  </si>
  <si>
    <t>Verify injection-shaped employee search cannot grant Agent access.</t>
  </si>
  <si>
    <t xml:space="preserve">1. Enter valid Agent information.
2. Open Access and select User.
3. Enter the configured injection-shaped employee search.
4. Verify Selected Users remains zero.
5. Cancel the draft.</t>
  </si>
  <si>
    <t xml:space="preserve">Access Search: {{SQL_INJECTION_MARKER}}
Selected Users Text: Selected Users (0)</t>
  </si>
  <si>
    <t>The access search selects no user, grants no permission and persists no access change.</t>
  </si>
  <si>
    <t>flow, security, agents, access, authorization</t>
  </si>
  <si>
    <t>AF-028</t>
  </si>
  <si>
    <t>Agent transport security</t>
  </si>
  <si>
    <t>Return baseline browser security headers for Agents</t>
  </si>
  <si>
    <t>Verify transport, framing and MIME-sniffing protections on the Agents response.</t>
  </si>
  <si>
    <t>1. The Agents URL is reachable over HTTPS.</t>
  </si>
  <si>
    <t xml:space="preserve">1. Request the Agents page.
2. Verify Strict-Transport-Security is present.
3. Verify Content-Security-Policy is present.
4. Verify framing is restricted by policy or X-Frame-Options.
5. Verify X-Content-Type-Options is nosniff.</t>
  </si>
  <si>
    <t xml:space="preserve">Required Headers: strict-transport-security, content-security-policy
Frame Headers: content-security-policy, x-frame-options
Content Type Options: nosniff</t>
  </si>
  <si>
    <t>The Agents response includes the configured transport, content, framing and MIME-sniffing protections.</t>
  </si>
  <si>
    <t>flow, security, agents, headers, transport</t>
  </si>
  <si>
    <t>AF-029</t>
  </si>
  <si>
    <t>Agent authentication security</t>
  </si>
  <si>
    <t>Block anonymous access to Agent controls</t>
  </si>
  <si>
    <t>Verify an empty browser context cannot use authenticated Agent controls.</t>
  </si>
  <si>
    <t>1. A browser context without saved authentication is available.</t>
  </si>
  <si>
    <t xml:space="preserve">1. Open the configured Agents path without storage state.
2. Wait for authentication handling to complete.
3. Verify authenticated Agents list controls are unavailable.
4. Verify Create Agent cannot be used.</t>
  </si>
  <si>
    <t xml:space="preserve">Agents Path: /agents
Search Placeholder: Search agents...
Create Button: Create Agent</t>
  </si>
  <si>
    <t>Anonymous access is redirected, challenged or denied and exposes no usable Agent search or creation control.</t>
  </si>
  <si>
    <t>flow, security, agents, authentication, anonymous</t>
  </si>
  <si>
    <t>AF-030</t>
  </si>
  <si>
    <t>Agent cleanup</t>
  </si>
  <si>
    <t>Cancel then confirm deletion of the synthetic Agent</t>
  </si>
  <si>
    <t>Verify deletion cancellation is safe before removing only the run-owned Agent.</t>
  </si>
  <si>
    <t xml:space="preserve">1. AF-022 updated the synthetic Agent in this run.
2. The exact updated Agent name is available.</t>
  </si>
  <si>
    <t xml:space="preserve">1. Search for the exact updated Agent name.
2. Open Delete from its action menu.
3. Cancel deletion.
4. Verify the exact Agent remains visible.
5. Open Delete again.
6. Confirm deletion.
7. Search for the exact updated Agent name.</t>
  </si>
  <si>
    <t xml:space="preserve">Cancel Button: Cancel
Delete Button: Delete</t>
  </si>
  <si>
    <t>Cancellation preserves the Agent, confirmation removes only the exact run-owned Agent, and exact search returns no match.</t>
  </si>
  <si>
    <t>flow, write, agents, delete, cleanup</t>
  </si>
  <si>
    <t>Test Data / Viewport</t>
  </si>
  <si>
    <t>UX Category</t>
  </si>
  <si>
    <t>Review Method</t>
  </si>
  <si>
    <t>Recommended Environment</t>
  </si>
  <si>
    <t>Status</t>
  </si>
  <si>
    <t>Actual Result</t>
  </si>
  <si>
    <t>Executed By</t>
  </si>
  <si>
    <t>Executed On</t>
  </si>
  <si>
    <t>Defect ID</t>
  </si>
  <si>
    <t>Remarks</t>
  </si>
  <si>
    <t>AF-UX-001</t>
  </si>
  <si>
    <t>Agents landing page</t>
  </si>
  <si>
    <t>Verify landing-page visual hierarchy and alignment</t>
  </si>
  <si>
    <t>Ensure the page purpose, discovery controls, and primary action are immediately understandable.</t>
  </si>
  <si>
    <t xml:space="preserve">1. The tester is authenticated in a business that contains at least three Agents.
2. Browser zoom is set to 100%.</t>
  </si>
  <si>
    <t xml:space="preserve">1. Open the Agents page at a 1440 x 900 viewport.
2. Inspect the Agents heading, Search agents field, scope tabs, Sort By control, and Create Agent button.
3. Scroll through the complete Agent-card area and compare spacing at the top, middle, and bottom of the page.</t>
  </si>
  <si>
    <t>Viewport: 1440 x 900; zoom: 100%; business with at least three Agents</t>
  </si>
  <si>
    <t>The heading is visually first, Create Agent is the clear primary action, related controls are grouped and aligned, spacing is consistent, and no text or control overlaps, clips, or shifts while scrolling.</t>
  </si>
  <si>
    <t>Visual consistency</t>
  </si>
  <si>
    <t>Manual visual review in Chrome at 1440 x 900 and 100% zoom</t>
  </si>
  <si>
    <t>Minor</t>
  </si>
  <si>
    <t>DEV / UAT / LIVE</t>
  </si>
  <si>
    <t>Non-Functional, Regression, Responsive</t>
  </si>
  <si>
    <t>@non-functional @regression @responsive @agents @manual @visual-consistency</t>
  </si>
  <si>
    <t>Not Run</t>
  </si>
  <si>
    <t>AF-UX-002</t>
  </si>
  <si>
    <t>Agent cards</t>
  </si>
  <si>
    <t>Verify card consistency and action discoverability</t>
  </si>
  <si>
    <t>Confirm Agent cards remain easy to scan when their content lengths differ.</t>
  </si>
  <si>
    <t>1. The business contains at least three Agents with different name and creator lengths.</t>
  </si>
  <si>
    <t xml:space="preserve">1. Compare card padding, Agent-name treatment, Created by metadata, and action placement.
2. Hover each card and observe the card and action-trigger states.
3. Move keyboard focus to each card and its action trigger.</t>
  </si>
  <si>
    <t>Three or more Agents with short, medium, and long display content</t>
  </si>
  <si>
    <t>Cards use consistent spacing and hierarchy, hover and focus do not move surrounding content, metadata remains readable, and the action trigger is discoverable with both pointer and keyboard.</t>
  </si>
  <si>
    <t>Side-by-side visual comparison plus pointer and keyboard inspection</t>
  </si>
  <si>
    <t>P2</t>
  </si>
  <si>
    <t>Non-Functional, Regression, Accessibility</t>
  </si>
  <si>
    <t>@non-functional @regression @a11y @agents @manual @visual-consistency</t>
  </si>
  <si>
    <t>AF-UX-003</t>
  </si>
  <si>
    <t>Handle long names and metadata without breaking the card layout</t>
  </si>
  <si>
    <t>Verify unusually long visible content remains understandable without obscuring nearby controls.</t>
  </si>
  <si>
    <t>1. A seeded UI-review Agent with a long name and long creator value is available.</t>
  </si>
  <si>
    <t xml:space="preserve">1. Open the Agents page and locate the long-content card.
2. Inspect the card at desktop and mobile widths.
3. Hover and keyboard-focus any truncated text.
4. Inspect the accessible name in browser accessibility tools.</t>
  </si>
  <si>
    <t>Agent name of at least 90 characters and a long creator display name; viewports 1440 x 900 and 390 x 844</t>
  </si>
  <si>
    <t>Long text wraps or truncates consistently, never covers another control, exposes its full meaning through visible or accessible text, and leaves the card action usable at every reviewed width.</t>
  </si>
  <si>
    <t>Content resilience</t>
  </si>
  <si>
    <t>Responsive visual review and Chrome accessibility-tree inspection</t>
  </si>
  <si>
    <t>DEV / UAT</t>
  </si>
  <si>
    <t>Non-Functional, Regression, Accessibility, Responsive</t>
  </si>
  <si>
    <t>@non-functional @regression @a11y @responsive @agents @content-resilience @manual</t>
  </si>
  <si>
    <t>AF-UX-004</t>
  </si>
  <si>
    <t>Agent scope navigation</t>
  </si>
  <si>
    <t>Verify clear visual states for all Agent scopes</t>
  </si>
  <si>
    <t>Ensure All, My Agents, Public Agents, and Shared Agents communicate their default, focus, and selected states clearly.</t>
  </si>
  <si>
    <t>1. The tester is authenticated and the Agents page is loaded.</t>
  </si>
  <si>
    <t xml:space="preserve">1. Keyboard-focus each scope tab in sequence.
2. Select All, My Agents, Public Agents, and Shared Agents one at a time.
3. Compare each tab's default, hover, focus, and selected presentation.</t>
  </si>
  <si>
    <t>Scope labels: All, My Agents, Public Agents, Shared Agents</t>
  </si>
  <si>
    <t>Exactly one scope is visibly selected, selection is communicated by more than color alone, focused tabs remain clearly visible, and every label remains legible in all reviewed states.</t>
  </si>
  <si>
    <t>Usability</t>
  </si>
  <si>
    <t>Manual visual-state comparison with keyboard and pointer</t>
  </si>
  <si>
    <t>@non-functional @regression @a11y @agents @manual @usability</t>
  </si>
  <si>
    <t>AF-UX-005</t>
  </si>
  <si>
    <t>Agent sorting</t>
  </si>
  <si>
    <t>Verify Sort By menu placement and state communication</t>
  </si>
  <si>
    <t>Check that the sort menu is readable, remains onscreen, and clearly identifies the current selection.</t>
  </si>
  <si>
    <t xml:space="preserve">1. The Agents page is loaded.
2. The Sort By control is available.</t>
  </si>
  <si>
    <t xml:space="preserve">1. Open Sort By at desktop width and inspect every option.
2. Select one option and reopen the menu.
3. Open the menu again at a narrow viewport near the screen edge.
4. Press Escape to dismiss the menu.</t>
  </si>
  <si>
    <t>Sort choices: Ascending, Descending, Last Modified; viewports 1366 x 768 and 390 x 844</t>
  </si>
  <si>
    <t>The menu remains inside the viewport, options have adequate spacing, the current choice has a visible non-color-only indicator, and Escape closes the menu and returns focus to Sort By.</t>
  </si>
  <si>
    <t>Pointer and keyboard review at desktop and mobile widths</t>
  </si>
  <si>
    <t>@non-functional @regression @a11y @responsive @agents @manual @usability</t>
  </si>
  <si>
    <t>AF-UX-006</t>
  </si>
  <si>
    <t>Agent search</t>
  </si>
  <si>
    <t>Verify search-field affordance and visual feedback</t>
  </si>
  <si>
    <t>Ensure users can identify, edit, and clear Agent search without layout confusion.</t>
  </si>
  <si>
    <t>1. The Agents page is loaded with visible Agent cards.</t>
  </si>
  <si>
    <t xml:space="preserve">1. Focus the Search agents field using the keyboard.
2. Enter a short search phrase and observe the result transition.
3. Edit the search phrase.
4. Clear the search using the visible reset affordance or standard field interaction.</t>
  </si>
  <si>
    <t>Search phrase: qa visual review</t>
  </si>
  <si>
    <t>The field has a persistent accessible name, focus is obvious, clearing is discoverable, the field remains editable during transitions, and result updates do not cause unrelated controls to jump.</t>
  </si>
  <si>
    <t>Keyboard and pointer usability review</t>
  </si>
  <si>
    <t>AF-UX-007</t>
  </si>
  <si>
    <t>Theme and color</t>
  </si>
  <si>
    <t>Verify light, dark, and forced-color presentation</t>
  </si>
  <si>
    <t>Ensure content and interaction states remain perceivable in every supported visual mode.</t>
  </si>
  <si>
    <t xml:space="preserve">1. The application theme control is available.
2. Windows forced-colors or High Contrast mode can be enabled.</t>
  </si>
  <si>
    <t xml:space="preserve">1. Review the Agents page and New Agent wizard in light mode.
2. Repeat the review in dark mode.
3. Enable forced-colors or High Contrast mode and inspect text, borders, focus, selected, validation, and destructive states.
4. Measure representative foreground and background color pairs.</t>
  </si>
  <si>
    <t>Light theme, dark theme, Windows forced colors; representative normal, selected, error, and destructive controls</t>
  </si>
  <si>
    <t>Normal text meets 4.5:1 contrast, large text and graphical controls meet 3:1, focus remains visible, selected/error/destructive meaning does not rely on color alone, and no control disappears in forced colors.</t>
  </si>
  <si>
    <t>Accessibility</t>
  </si>
  <si>
    <t>Contrast analyzer plus manual review in light, dark, and Windows forced-colors modes</t>
  </si>
  <si>
    <t>@non-functional @regression @a11y @accessibility @agents @manual</t>
  </si>
  <si>
    <t>AF-UX-008</t>
  </si>
  <si>
    <t>Agents list loading</t>
  </si>
  <si>
    <t>Verify the initial loading-state presentation</t>
  </si>
  <si>
    <t>Ensure slow loading appears intentional and does not resemble an empty or broken page.</t>
  </si>
  <si>
    <t xml:space="preserve">1. Network throttling is available in browser developer tools.
2. The selected business contains Agents.</t>
  </si>
  <si>
    <t xml:space="preserve">1. Enable Slow 3G throttling.
2. Reload the Agents page.
3. Observe the area from navigation start until Agent cards are displayed.
4. Listen for status announcements with a screen reader or inspect the live region.</t>
  </si>
  <si>
    <t>Chrome Slow 3G profile; populated business</t>
  </si>
  <si>
    <t>A skeleton, spinner, or equivalent status appears promptly, stable page controls do not shift, loading placeholders cannot be mistaken for real Agents, and assistive technology receives one concise loading status.</t>
  </si>
  <si>
    <t>State handling</t>
  </si>
  <si>
    <t>Chrome network throttling with visual and accessibility review</t>
  </si>
  <si>
    <t>@non-functional @regression @a11y @agents @manual @state-handling</t>
  </si>
  <si>
    <t>AF-UX-009</t>
  </si>
  <si>
    <t>Agents empty state</t>
  </si>
  <si>
    <t>Verify the first-use state when no Agents exist</t>
  </si>
  <si>
    <t>Make the next useful action obvious in an empty business.</t>
  </si>
  <si>
    <t>1. An approved QA business with no Agents or an empty-state fixture is available.</t>
  </si>
  <si>
    <t xml:space="preserve">1. Open the Agents page in the empty business.
2. Inspect the main content, illustration if present, guidance, and available actions.
3. Review the same state at a mobile viewport.</t>
  </si>
  <si>
    <t>Empty QA business; viewports 1440 x 900 and 390 x 844</t>
  </si>
  <si>
    <t>A purposeful empty-state heading and explanation appear, Create Agent is offered once as the primary next action, and no blank panel, misleading count, broken illustration, or irrelevant sorting control is shown.</t>
  </si>
  <si>
    <t>Empty-state UX</t>
  </si>
  <si>
    <t>Manual first-use review at desktop and mobile widths</t>
  </si>
  <si>
    <t>@non-functional @regression @responsive @agents @empty-state-ux @manual</t>
  </si>
  <si>
    <t>AF-UX-010</t>
  </si>
  <si>
    <t>Agent search empty state</t>
  </si>
  <si>
    <t>Verify no-match search guidance and recovery</t>
  </si>
  <si>
    <t>Help users understand and recover when a search has no visible matches.</t>
  </si>
  <si>
    <t>1. The selected business contains at least one Agent.</t>
  </si>
  <si>
    <t xml:space="preserve">1. Enter a unique value that matches no Agent.
2. Inspect the no-results message and available actions.
3. Clear the query using the provided recovery control.</t>
  </si>
  <si>
    <t>Unmatched query: qa-agent-no-match-ux-918273</t>
  </si>
  <si>
    <t>The page explicitly states that no matching Agents were found, safely identifies the query when repeated, provides an obvious clear/reset action, and preserves the normal page context around the message.</t>
  </si>
  <si>
    <t>Manual content-design and recovery review</t>
  </si>
  <si>
    <t>Non-Functional, Regression</t>
  </si>
  <si>
    <t>@non-functional @regression @agents @empty-state-ux @manual</t>
  </si>
  <si>
    <t>AF-UX-011</t>
  </si>
  <si>
    <t>Agents list error state</t>
  </si>
  <si>
    <t>Verify list-load failure and retry presentation</t>
  </si>
  <si>
    <t>Confirm a recoverable loading failure never produces a blank or technical page.</t>
  </si>
  <si>
    <t>1. The Agents-list request can be safely blocked in a non-production environment.</t>
  </si>
  <si>
    <t xml:space="preserve">1. Block the Agents-list request and reload the page.
2. Inspect the failure message and recovery actions.
3. Remove request blocking.
4. Activate Retry using the keyboard.</t>
  </si>
  <si>
    <t>Browser request blocking for the Agents-list request</t>
  </si>
  <si>
    <t>A plain-language error is displayed in context, no stack trace or raw response is exposed, Retry is visible and keyboard accessible, and a successful retry replaces the error without requiring a browser restart.</t>
  </si>
  <si>
    <t>Error-state UX</t>
  </si>
  <si>
    <t>Request blocking followed by keyboard and visual recovery review</t>
  </si>
  <si>
    <t>@non-functional @regression @a11y @agents @error-state-ux @manual</t>
  </si>
  <si>
    <t>AF-UX-012</t>
  </si>
  <si>
    <t>Agent wizard shell</t>
  </si>
  <si>
    <t>Verify wizard hierarchy and progress clarity</t>
  </si>
  <si>
    <t>Ensure users understand their current position within the nine-section Agent configuration flow.</t>
  </si>
  <si>
    <t>1. The tester can open the New Agent wizard.</t>
  </si>
  <si>
    <t xml:space="preserve">1. Open New Agent.
2. Review Information, Instructions, Tools, Connectors, Swarm, Knowledge, Guardrail, UI Component, and Access.
3. Visit several non-adjacent tabs and compare their active, available, and completed states.</t>
  </si>
  <si>
    <t>Wizard tabs: Information, Instructions, Tools, Connectors, Swarm, Knowledge, Guardrail, UI Component, Access</t>
  </si>
  <si>
    <t>New Agent is the clear dialog heading, the panel heading agrees with the active tab, current/available/completed states are distinguishable without color alone, and all step labels remain readable and ordered.</t>
  </si>
  <si>
    <t>Wizard usability</t>
  </si>
  <si>
    <t>Manual visual and content-hierarchy review</t>
  </si>
  <si>
    <t>@non-functional @regression @agents @manual @wizard-usability</t>
  </si>
  <si>
    <t>AF-UX-013</t>
  </si>
  <si>
    <t>Agent wizard layout</t>
  </si>
  <si>
    <t>Verify scrolling and action-bar accessibility</t>
  </si>
  <si>
    <t>Ensure long wizard panels do not hide navigation actions or create confusing nested scrolling.</t>
  </si>
  <si>
    <t>1. The New Agent wizard is open.</t>
  </si>
  <si>
    <t xml:space="preserve">1. Set the viewport to 1366 x 600 and inspect Information, Instructions, resource, and Access panels.
2. Scroll each panel from beginning to end.
3. Repeat at 390 x 844.
4. Check access to Back, Next, Cancel, and Create or Update controls.</t>
  </si>
  <si>
    <t>Viewports: 1366 x 600 and 390 x 844</t>
  </si>
  <si>
    <t>The wizard uses one predictable content scroll region, no field is hidden by the action area, tabs and headings do not overlap content, and every applicable navigation or submission action remains reachable.</t>
  </si>
  <si>
    <t>Responsive usability</t>
  </si>
  <si>
    <t>Short-height and mobile-width scrolling review</t>
  </si>
  <si>
    <t>@non-functional @regression @a11y @responsive @agents @manual @responsive-usability</t>
  </si>
  <si>
    <t>AF-UX-014</t>
  </si>
  <si>
    <t>Agent draft exit</t>
  </si>
  <si>
    <t>Verify unsaved-change warning and safe choices</t>
  </si>
  <si>
    <t>Prevent accidental loss of a partially completed Agent draft.</t>
  </si>
  <si>
    <t xml:space="preserve">1. The New Agent wizard is open.
2. No actual Agent will be submitted during this case.</t>
  </si>
  <si>
    <t xml:space="preserve">1. Change several Information fields.
2. Attempt to leave using Cancel, Escape, the dialog close control, and sidebar navigation where supported.
3. Choose Keep editing and verify the draft remains visible.
4. Repeat the exit attempt and choose Discard.
5. Open an unchanged draft and close it.</t>
  </si>
  <si>
    <t>Draft name: QA Unsaved UX Review; non-sensitive description and prompt</t>
  </si>
  <si>
    <t>Leaving a changed draft shows one clear warning, Keep editing is the safe/default action and retains input, Discard explains the consequence, and an unchanged draft can close without an unnecessary warning.</t>
  </si>
  <si>
    <t>Pointer and keyboard exit-path review</t>
  </si>
  <si>
    <t>AF-UX-015</t>
  </si>
  <si>
    <t>Agent information fields</t>
  </si>
  <si>
    <t>Verify labels, required indicators, helper text, and limits</t>
  </si>
  <si>
    <t>Make every Information field understandable without relying on placeholder text.</t>
  </si>
  <si>
    <t>1. The Information tab of New Agent is open.</t>
  </si>
  <si>
    <t xml:space="preserve">1. Inspect Name, Model, Country, Description, and Initial Prompt before entering data.
2. Enter representative content in each text field.
3. Inspect required indicators, helper text, and any remaining-character or maximum-length guidance.
4. Check each control in the browser accessibility tree.</t>
  </si>
  <si>
    <t>Representative valid Agent information; no confidential data</t>
  </si>
  <si>
    <t>Every control has a persistent visible label and accessible name, required fields are identified consistently, the required convention is explained once, limits are communicated before failure, and field context remains after placeholders disappear.</t>
  </si>
  <si>
    <t>Form usability</t>
  </si>
  <si>
    <t>Visual review plus Chrome accessibility-tree inspection</t>
  </si>
  <si>
    <t>@non-functional @regression @a11y @agents @form-usability @manual</t>
  </si>
  <si>
    <t>AF-UX-016</t>
  </si>
  <si>
    <t>Model and country selectors</t>
  </si>
  <si>
    <t>Verify dropdown information architecture and readability</t>
  </si>
  <si>
    <t>Ensure provider, model, and country choices can be navigated efficiently.</t>
  </si>
  <si>
    <t xml:space="preserve">1. The Information tab is open.
2. Model and Country selectors contain multiple choices.</t>
  </si>
  <si>
    <t xml:space="preserve">1. Open Model and navigate provider groups and long model labels with the keyboard.
2. Select one model and reopen the selector.
3. Open Country and locate an option far from the initially visible choices.
4. Inspect hovered, focused, and selected options at narrow width.</t>
  </si>
  <si>
    <t>Representative model: GPT o3-mini; representative country: India; viewport 390 x 844</t>
  </si>
  <si>
    <t>Each menu has an accessible name, remains within the viewport, communicates grouping, distinguishes focused and selected options, preserves readable long labels, and displays the chosen value after closing.</t>
  </si>
  <si>
    <t>Keyboard-only dropdown review at desktop and mobile widths</t>
  </si>
  <si>
    <t>AF-UX-017</t>
  </si>
  <si>
    <t>Generate agent details</t>
  </si>
  <si>
    <t>Verify generation progress, success, and failure feedback</t>
  </si>
  <si>
    <t>Ensure users understand what Generate agent details is doing and can recover from a failure.</t>
  </si>
  <si>
    <t xml:space="preserve">1. Minimum valid Information values are available.
2. The generation request can be throttled and safely blocked in a non-production environment.</t>
  </si>
  <si>
    <t xml:space="preserve">1. Enter the minimum valid Information values.
2. Enable Slow 3G and activate Generate agent details.
3. Observe the action and affected fields until completion.
4. Repeat with the generation request blocked.
5. Restore connectivity and use Retry.</t>
  </si>
  <si>
    <t>Draft: QA Generate UX Review; Slow 3G; one simulated request failure</t>
  </si>
  <si>
    <t>Progress is visible, duplicate activation is prevented, user-entered text is retained, successful generation makes changed content understandable without stealing focus, and failure is explained near the action with a working Retry path.</t>
  </si>
  <si>
    <t>Feedback and state handling</t>
  </si>
  <si>
    <t>Network throttling and request blocking with manual feedback review</t>
  </si>
  <si>
    <t>@non-functional @regression @agents @feedback-and-state-handling @manual</t>
  </si>
  <si>
    <t>AF-UX-018</t>
  </si>
  <si>
    <t>Agent form validation</t>
  </si>
  <si>
    <t>Verify inline validation presentation and recovery</t>
  </si>
  <si>
    <t>Review error clarity, focus, and announcements without repeating functional required-field enforcement.</t>
  </si>
  <si>
    <t xml:space="preserve">1. The New Agent Information tab is open.
2. A screen reader is available for announcement review.</t>
  </si>
  <si>
    <t xml:space="preserve">1. Trigger multiple required-field errors in one attempt.
2. Inspect message wording, location, and field styling.
3. Correct the fields one at a time.
4. Attempt to continue after all corrections.</t>
  </si>
  <si>
    <t>Missing Name, Model, Description, and Initial Prompt followed by valid replacements</t>
  </si>
  <si>
    <t>Each message names the affected field and remedy, appears adjacent to and is programmatically associated with its control, focus moves to the first invalid field, errors are announced, and each error clears after its value is corrected.</t>
  </si>
  <si>
    <t>Validation UX</t>
  </si>
  <si>
    <t>Keyboard review with NVDA and browser accessibility inspection</t>
  </si>
  <si>
    <t>@non-functional @regression @a11y @agents @manual @validation-ux</t>
  </si>
  <si>
    <t>AF-UX-019</t>
  </si>
  <si>
    <t>Agent wizard navigation</t>
  </si>
  <si>
    <t>Verify Back, Next, and step-state feedback</t>
  </si>
  <si>
    <t>Ensure navigation controls communicate direction and availability consistently.</t>
  </si>
  <si>
    <t>1. A valid unsaved Agent draft is open.</t>
  </si>
  <si>
    <t xml:space="preserve">1. Move forward and backward across several wizard tabs.
2. Compare the order and wording of Back, Next, Cancel, and final actions.
3. Inspect active and completed step styling after each move.
4. Observe keyboard focus after a panel change.</t>
  </si>
  <si>
    <t>Valid non-sensitive draft data; visit Information, Instructions, Tools, and Access</t>
  </si>
  <si>
    <t>Back and Next remain in predictable positions, unavailable actions are visibly disabled with understandable context, step indicators update clearly, and focus moves to the newly displayed panel heading or first meaningful control.</t>
  </si>
  <si>
    <t>Manual visual and keyboard navigation review</t>
  </si>
  <si>
    <t>@non-functional @regression @a11y @agents @manual @wizard-usability</t>
  </si>
  <si>
    <t>AF-UX-020</t>
  </si>
  <si>
    <t>Agent resource panels</t>
  </si>
  <si>
    <t>Verify visual consistency across selectable resource tabs</t>
  </si>
  <si>
    <t>Ensure Tools, Connectors, Swarm, Guardrail, and UI Component use a coherent selection pattern.</t>
  </si>
  <si>
    <t xml:space="preserve">1. The wizard resource tabs are available.
2. At least one resource is visible in each reviewed tab where test data permits.</t>
  </si>
  <si>
    <t xml:space="preserve">1. Open Tools, Connectors, Swarm, Guardrail, and UI Component in sequence.
2. Compare search fields, cards or rows, checkboxes, spacing, headings, and helper text.
3. Switch rapidly between two populated tabs and inspect transitional content.
4. Repeat at tablet width.</t>
  </si>
  <si>
    <t>Resource tabs: Tools, Connectors, Swarm, Guardrail, UI Component; viewport 768 x 1024</t>
  </si>
  <si>
    <t>Equivalent controls share consistent patterns, resource names and supporting text remain readable, selection controls align, and switching tabs never flashes stale content from the previous resource type.</t>
  </si>
  <si>
    <t>Cross-tab visual comparison at desktop and tablet widths</t>
  </si>
  <si>
    <t>AF-UX-021</t>
  </si>
  <si>
    <t>Agent resource states</t>
  </si>
  <si>
    <t>Verify loading, no-match, and error states in resource panels</t>
  </si>
  <si>
    <t>Ensure resource panels clearly distinguish loading, empty search, and failure conditions.</t>
  </si>
  <si>
    <t xml:space="preserve">1. Network throttling and request blocking are available.
2. At least two resource tabs can be reviewed.</t>
  </si>
  <si>
    <t xml:space="preserve">1. Open one resource tab under Slow 3G and observe its loading state.
2. Enter an unmatched resource query and inspect the no-results state.
3. Block the resource request and inspect the error state.
4. Restore the request and activate Retry.
5. Repeat the state comparison on a second resource tab.</t>
  </si>
  <si>
    <t>Unmatched query: qa-resource-no-match-ux; Slow 3G; one blocked resource request</t>
  </si>
  <si>
    <t>Loading, no-match, and failure states use distinct wording and presentation, identify the affected resource type, preserve a recovery path, expose Retry for failures, and never leave a stale resource selectable.</t>
  </si>
  <si>
    <t>Network throttling and request blocking across two resource tabs</t>
  </si>
  <si>
    <t>@non-functional @regression @agents @manual @state-handling</t>
  </si>
  <si>
    <t>AF-UX-022</t>
  </si>
  <si>
    <t>Agent resource selection</t>
  </si>
  <si>
    <t>Verify selected-resource visibility and removal</t>
  </si>
  <si>
    <t>Confirm users can understand which resources will be attached before saving.</t>
  </si>
  <si>
    <t xml:space="preserve">1. At least two safe QA resources are available in one resource tab.
2. The draft will be cancelled instead of saved.</t>
  </si>
  <si>
    <t xml:space="preserve">1. Select two safe QA resources.
2. Scroll away from the selected rows and return.
3. Inspect the selected count or summary if provided.
4. Filter so one selected resource is outside the immediate result set.
5. Deselect one resource and cancel the draft.</t>
  </si>
  <si>
    <t>Two non-production QA resources from the same tab</t>
  </si>
  <si>
    <t>Selected and unselected states are distinguishable without color alone, a visible count or summary reflects current choices, filtered selections remain understandable, and removing a selection is discoverable and clearly acknowledged.</t>
  </si>
  <si>
    <t>Manual selection-state and information-scent review</t>
  </si>
  <si>
    <t>@non-functional @regression @agents @manual @usability</t>
  </si>
  <si>
    <t>AF-UX-023</t>
  </si>
  <si>
    <t>Agent knowledge upload</t>
  </si>
  <si>
    <t>Verify file-upload guidance, progress, and error feedback</t>
  </si>
  <si>
    <t>Ensure users know upload requirements and always understand the selected file state.</t>
  </si>
  <si>
    <t xml:space="preserve">1. Safe valid, unsupported, and oversized sample files are available.
2. The Knowledge tab is open and the draft will not be saved.</t>
  </si>
  <si>
    <t xml:space="preserve">1. Inspect the upload control before choosing a file.
2. Choose a valid sample file and observe its progress and final state.
3. Attempt to choose an unsupported file type.
4. Attempt to choose a file exceeding the displayed maximum size.
5. Remove the valid file and cancel the draft.</t>
  </si>
  <si>
    <t>Valid small document, unsupported executable sample, and file above the documented maximum size</t>
  </si>
  <si>
    <t>The upload control has a visible and accessible label, supported formats and maximum size are stated before selection, filename/progress/completion are visible, invalid files receive specific adjacent errors, and remove or retry controls are available.</t>
  </si>
  <si>
    <t>Upload usability</t>
  </si>
  <si>
    <t>Pointer, keyboard, visual, and accessibility-tree review</t>
  </si>
  <si>
    <t>@non-functional @regression @a11y @agents @manual @upload-usability</t>
  </si>
  <si>
    <t>AF-UX-024</t>
  </si>
  <si>
    <t>Verify User and Public access-mode comprehension</t>
  </si>
  <si>
    <t>Ensure the sharing consequence is understandable before an Agent is created or updated.</t>
  </si>
  <si>
    <t xml:space="preserve">1. The Access tab is available.
2. A safe test employee is available where selection is permitted.
3. The draft will be cancelled without saving.</t>
  </si>
  <si>
    <t xml:space="preserve">1. Compare the User and Public tabs and their explanatory copy.
2. Search for and select the safe test employee.
3. Inspect Selected Users count, selected-person representation, and removal affordance.
4. Switch to Public and inspect visibility messaging.
5. Return to User and cancel the draft.</t>
  </si>
  <si>
    <t>One approved QA employee; access modes User and Public</t>
  </si>
  <si>
    <t>Each access mode explains who can use the Agent, selected people and their count are visible and removable, Public mode presents an appropriately prominent visibility warning when needed, and no ambiguous mixed permission state remains.</t>
  </si>
  <si>
    <t>Permission UX</t>
  </si>
  <si>
    <t>Manual content, visual hierarchy, and selection-state review</t>
  </si>
  <si>
    <t>Non-Functional, Regression, Security</t>
  </si>
  <si>
    <t>@non-functional @regression @security @agents @manual @permission-ux</t>
  </si>
  <si>
    <t>AF-UX-025</t>
  </si>
  <si>
    <t>Agent create and update feedback</t>
  </si>
  <si>
    <t>Verify submission progress and outcome messaging</t>
  </si>
  <si>
    <t>Review the feedback around an approved synthetic create or update without retesting persisted field values.</t>
  </si>
  <si>
    <t xml:space="preserve">1. The tester is in an approved non-production business.
2. A disposable synthetic Agent can be created or updated and then cleaned up.
3. Request throttling and blocking are available.</t>
  </si>
  <si>
    <t xml:space="preserve">1. Submit a valid synthetic Agent while Slow 3G is enabled.
2. Attempt a second activation while the first request is in progress.
3. Observe the success message and resulting focus location.
4. Repeat an update with its request blocked and inspect failure recovery.
5. Clean up the synthetic Agent after review.</t>
  </si>
  <si>
    <t>Synthetic name: QA Agent UX Feedback plus current date/time; Slow 3G; one simulated update failure</t>
  </si>
  <si>
    <t>The submit action shows progress and prevents duplicate activation, success identifies the saved Agent and next location, failure retains entered values and offers Retry, and every outcome message is readable, announced, and unobscured.</t>
  </si>
  <si>
    <t>Approved synthetic DEV/UAT flow with network throttling and request blocking</t>
  </si>
  <si>
    <t>Non-Functional, Regression, UAT</t>
  </si>
  <si>
    <t>@non-functional @regression @uat @agents @feedback-and-state-handling @manual</t>
  </si>
  <si>
    <t>AF-UX-026</t>
  </si>
  <si>
    <t>Agent deletion confirmation</t>
  </si>
  <si>
    <t>Verify destructive-dialog clarity without completing deletion</t>
  </si>
  <si>
    <t>Ensure accidental Agent deletion is difficult and its consequence is explicit.</t>
  </si>
  <si>
    <t xml:space="preserve">1. A disposable QA Agent exists.
2. The tester will cancel the confirmation and will not delete the Agent in this case.</t>
  </si>
  <si>
    <t xml:space="preserve">1. Open the disposable Agent's action menu and choose Delete.
2. Inspect the dialog heading, Agent name, irreversible-action warning, and action order.
3. Check initial keyboard focus and attempt to reach background content.
4. Cancel the confirmation using the visible Cancel action.</t>
  </si>
  <si>
    <t>One disposable QA Agent with a unique, recognizable name</t>
  </si>
  <si>
    <t>The dialog names the exact Agent, states that deletion cannot be undone, distinguishes Delete with destructive styling, gives safe initial focus to Cancel, prevents background interaction, and restores focus to the originating action after cancellation.</t>
  </si>
  <si>
    <t>Destructive-action UX</t>
  </si>
  <si>
    <t>Visual, keyboard, and screen-reader dialog review; cancel only</t>
  </si>
  <si>
    <t>@non-functional @regression @a11y @agents @destructive-action-ux @manual</t>
  </si>
  <si>
    <t>AF-UX-027</t>
  </si>
  <si>
    <t>Agents page keyboard accessibility</t>
  </si>
  <si>
    <t>Complete landing-page navigation with keyboard only</t>
  </si>
  <si>
    <t>Verify every primary Agents-page action can be reached and understood without a pointer.</t>
  </si>
  <si>
    <t xml:space="preserve">1. The Agents page contains several cards.
2. The mouse or touchpad will not be used during execution.</t>
  </si>
  <si>
    <t xml:space="preserve">1. Start focus at the beginning of browser content.
2. Navigate through sidebar controls, scope tabs, search, Sort By, Create Agent, and Agent cards.
3. Open and close an Agent action menu.
4. Activate representative controls with Enter, Space, and arrow keys according to their roles.</t>
  </si>
  <si>
    <t>Keyboard keys: Tab, Shift+Tab, Enter, Space, Escape, Arrow keys</t>
  </si>
  <si>
    <t>Focus order follows the visual reading order, every interactive element has a visible focus indicator and meaningful name, no control is unreachable, and closing a menu returns focus to its trigger.</t>
  </si>
  <si>
    <t>Keyboard-only review in Chrome</t>
  </si>
  <si>
    <t>AF-UX-028</t>
  </si>
  <si>
    <t>Agent dialog keyboard accessibility</t>
  </si>
  <si>
    <t>Verify wizard and confirmation focus management</t>
  </si>
  <si>
    <t>Ensure modal interfaces manage keyboard focus predictably and protect changed data.</t>
  </si>
  <si>
    <t>1. The New Agent wizard and an Agent delete confirmation can be opened.</t>
  </si>
  <si>
    <t xml:space="preserve">1. Open the New Agent wizard and identify initial focus.
2. Tab forward and backward through all visible controls and attempt to reach the background page.
3. Change a field and test Escape according to the unsaved-change policy.
4. Close the wizard and inspect restored focus.
5. Repeat focus-entry, containment, Escape, and restoration checks in the delete confirmation.</t>
  </si>
  <si>
    <t>Keyboard keys: Tab, Shift+Tab, Escape; harmless unsaved draft change</t>
  </si>
  <si>
    <t>Initial focus is meaningful, focus remains inside each modal, tab order matches the visual layout, Escape never silently discards changed data, and closing restores focus to the exact control that opened the modal.</t>
  </si>
  <si>
    <t>Keyboard-only focus-management review</t>
  </si>
  <si>
    <t>AF-UX-029</t>
  </si>
  <si>
    <t>Agents screen-reader accessibility</t>
  </si>
  <si>
    <t>Verify semantic structure and live announcements</t>
  </si>
  <si>
    <t>Ensure the Agents page and wizard can be understood without visual presentation.</t>
  </si>
  <si>
    <t xml:space="preserve">1. NVDA and Chrome are available.
2. The Agents page contains at least one card.</t>
  </si>
  <si>
    <t xml:space="preserve">1. Read the Agents page by landmarks and headings.
2. Navigate the scope tabs and all wizard tabs using screen-reader commands.
3. Read Information-field labels, required state, helper text, resource selection state, and selected-user count.
4. Trigger loading, validation, and save-feedback announcements without completing destructive actions.
5. Open and read the delete confirmation.</t>
  </si>
  <si>
    <t>NVDA with Chrome; one populated business; one harmless validation attempt</t>
  </si>
  <si>
    <t>The page exposes a clear main heading and landmarks, tabs expose selected state and associated panels, fields expose labels and errors, state changes are announced once at the appropriate time, and dialogs announce their title and descriptive warning.</t>
  </si>
  <si>
    <t>NVDA plus Chrome accessibility-tree review</t>
  </si>
  <si>
    <t>AF-UX-030</t>
  </si>
  <si>
    <t>Agents responsive layout and zoom</t>
  </si>
  <si>
    <t>Verify the Agents flow across supported widths and zoom levels</t>
  </si>
  <si>
    <t>Ensure all content and actions remain usable without loss of information under reflow and browser zoom.</t>
  </si>
  <si>
    <t xml:space="preserve">1. The Agents list and New Agent wizard are available.
2. Browser responsive mode and zoom controls are available.</t>
  </si>
  <si>
    <t xml:space="preserve">1. Review the Agents list and wizard at 1440 x 900, 1024 x 768, 768 x 1024, and 390 x 844 at 100% zoom.
2. Repeat the desktop review at 200% zoom.
3. Review at 400% zoom or an equivalent 320 CSS-pixel content width.
4. Inspect menus, wizard tabs, upload controls, Access content, and delete confirmation at each setting.</t>
  </si>
  <si>
    <t>Viewports: 1440 x 900, 1024 x 768, 768 x 1024, 390 x 844; zoom: 100%, 200%, 400%</t>
  </si>
  <si>
    <t>Controls reflow in logical order, cards and dialogs fit the available area, text is not clipped, unintended two-dimensional scrolling is absent, menus stay onscreen, touch targets remain usable, and all wizard and confirmation actions remain reachable.</t>
  </si>
  <si>
    <t>Responsive accessibility</t>
  </si>
  <si>
    <t>Chrome responsive mode at desktop, tablet, mobile, 200% zoom, and 400% zoom</t>
  </si>
  <si>
    <t>@non-functional @regression @a11y @responsive @agents @manual @responsive-accessibility</t>
  </si>
  <si>
    <t>AF-UX-031</t>
  </si>
  <si>
    <t>Agents UI performance</t>
  </si>
  <si>
    <t>Agents discovery and wizard interactions meet measurable budgets</t>
  </si>
  <si>
    <t>Measure the user-visible responsiveness and layout stability of the Agents list, search, sorting, wizard opening, and wizard tab changes under a repeatable browser profile.</t>
  </si>
  <si>
    <t xml:space="preserve">1. A production-like UAT business contains at least 30 Agent cards and the New Agent wizard is available.
2. Chrome DevTools Performance recording is available with cache disabled and no unrelated extensions running.
3. The test machine, browser version, network profile, data volume, and build identifier are recorded before execution.</t>
  </si>
  <si>
    <t xml:space="preserve">1. Run one unmeasured warm-up, then record ten measured cycles at 1440 x 900 using Fast 4G and 4x CPU slowdown.
2. Measure route start to visible and interactive Agents search, Create Agent, and first card.
3. Measure a search keystroke to stable filtered cards, Sort By activation to stable reordered cards, and Create Agent activation to a fully painted Information step.
4. Measure transitions among Information, Instructions, Knowledge, Tools, and Access after each panel is ready for input.
5. Record p50/p95 timings, cumulative layout shift, failed interactions, and any main-thread task longer than 200 ms, attaching a trace for every breach.</t>
  </si>
  <si>
    <t>Chrome stable; 1440 x 900; Fast 4G; 4x CPU slowdown; at least 30 cards; 1 warm-up plus 10 measured cycles; budgets: Agents interactive &lt;=2500 ms, search &lt;=300 ms, sort &lt;=500 ms, wizard open &lt;=700 ms, tab change &lt;=300 ms, CLS &lt;=0.10, zero tested-interaction tasks &gt;200 ms.</t>
  </si>
  <si>
    <t>All ten cycles complete without interaction failure; p95 route, search, sort, wizard-open, and tab-change timings remain within the stated budgets; cumulative layout shift does not exceed 0.10; no tested interaction creates a main-thread task over 200 ms; and every breach is reported with its exact measurement, card count, and trace.</t>
  </si>
  <si>
    <t>Performance</t>
  </si>
  <si>
    <t>Chrome DevTools Performance traces with a ten-cycle timing worksheet and p50/p95 calculation</t>
  </si>
  <si>
    <t>UAT (primary) / DEV for diagnosis</t>
  </si>
  <si>
    <t>Non-Functional, Regression, Performance</t>
  </si>
  <si>
    <t>@non-functional @regression @performance @agents @manual</t>
  </si>
  <si>
    <t>AF-UX-032</t>
  </si>
  <si>
    <t>Agents visual regression</t>
  </si>
  <si>
    <t>Agents list, wizard, menus, and confirmation match approved baselines</t>
  </si>
  <si>
    <t>Detect unintended typography, spacing, colour, focus, responsive, and state-presentation changes while masking only documented dynamic Agent data.</t>
  </si>
  <si>
    <t xml:space="preserve">1. Approved baselines exist for the current design version, browser version, theme, and supported viewports.
2. Seeded Agent cards, tools, knowledge files, and access identities are stable for capture.
3. Animations and caret blinking can be disabled and all permitted dynamic masks are documented.</t>
  </si>
  <si>
    <t xml:space="preserve">1. Capture the Agents landing page, scope tabs, search, open Sort By menu, grid cards, list layout, and one open card action menu at desktop and mobile widths.
2. Capture Information, Instructions, Knowledge, Tools, and Access wizard panels with stable representative data.
3. Capture one validation state and the delete confirmation without confirming deletion.
4. Compare each capture with its approved baseline using identical browser, scale factor, fonts, theme, data, animation, and viewport settings.
5. Review every changed region, reject masks that hide controls or product content, and record the baseline version, diff percentage, reviewer decision, and linked approval or defect.</t>
  </si>
  <si>
    <t>Chrome stable; device scale factor 1; viewports 1440 x 900 and 390 x 844; approved light-theme baselines; animations disabled; run timestamps and approved user-specific values masked; maximum unapproved pixel difference 0.20 percent per image.</t>
  </si>
  <si>
    <t>Every required stable state is captured; each image has no unapproved pixel difference above 0.20 percent; cards, menus, tabs, fields, upload areas, access controls, validation, and confirmation have no clipping or displacement; and no baseline is replaced without a named reviewer and documented design approval.</t>
  </si>
  <si>
    <t>Visual regression</t>
  </si>
  <si>
    <t>Pixel-diff comparison followed by named human review of every changed region and baseline approval record</t>
  </si>
  <si>
    <t>UAT baseline review / DEV for investigating differences</t>
  </si>
  <si>
    <t>Non-Functional, Regression, Visual Regression</t>
  </si>
  <si>
    <t>@non-functional @regression @visual-regression @agents @manual</t>
  </si>
  <si>
    <t>AF-UX-033</t>
  </si>
  <si>
    <t>Agents localization and text expansion</t>
  </si>
  <si>
    <t>Localized Agent content and 40 percent text expansion remain usable</t>
  </si>
  <si>
    <t>Verify locale-aware formatting, translated or pseudo-localized interface text, Unicode Agent data, and resilient layouts throughout discovery and the five-step wizard.</t>
  </si>
  <si>
    <t xml:space="preserve">1. The approved locale list and fallback-language rules are available.
2. A pseudo-locale or controlled 40 percent text-expansion build is available in DEV or UAT.
3. Seed data includes Unicode Agent names, descriptions, filenames, tool names, and user identities.</t>
  </si>
  <si>
    <t xml:space="preserve">1. Review the Agents heading, scope tabs, search, sorting, card actions, empty/no-result states, and Create Agent entry in the default locale and every approved test locale.
2. Review all five wizard panels, helper text, generated-instruction controls, knowledge upload, tool selection, selected-user counts, buttons, validation, and confirmation content.
3. Repeat using the pseudo-locale with labels expanded by approximately 40 percent at desktop and mobile widths and at 200 percent zoom.
4. Verify Unicode seed values, filenames, numbers, dates, and time-related content preserve data while interface formatting follows the chosen locale.
5. If an RTL locale is officially supported, verify mirrored layout, menus, tab navigation, text direction, and focus order without reversing identifiers or filenames.</t>
  </si>
  <si>
    <t>Product default plus every approved supported locale; pseudo-locale with about 40 percent expansion; Unicode Agent and resource fixtures; viewports 1440 x 900 and 390 x 844; zoom 100 and 200 percent.</t>
  </si>
  <si>
    <t>All intended interface text uses the selected locale with no unexplained fallback mixture, locale-sensitive values use approved formats, Unicode Agent and resource data remains unchanged, expanded labels and messages do not clip or cover actions, every wizard control remains reachable, and supported RTL presentation preserves meaningful reading and focus order.</t>
  </si>
  <si>
    <t>Localization</t>
  </si>
  <si>
    <t>Locale matrix review with pseudo-localization, mobile reflow, 200 percent zoom, and screen-reader spot checks</t>
  </si>
  <si>
    <t>DEV / UAT with localization fixtures</t>
  </si>
  <si>
    <t>Non-Functional, Regression, Responsive, Localization</t>
  </si>
  <si>
    <t>@non-functional @regression @responsive @localization @agents @manual</t>
  </si>
  <si>
    <t>AF-UX-034</t>
  </si>
  <si>
    <t>Agents exploratory UAT charter</t>
  </si>
  <si>
    <t>Explore Agent discovery and draft creation across resources and access states</t>
  </si>
  <si>
    <t>Use a time-boxed UAT charter to discover confusing, inconsistent, or unsafe transitions across discovery, wizard navigation, generated instructions, knowledge, tools, and access that scripted cases may miss.</t>
  </si>
  <si>
    <t xml:space="preserve">1. A UAT business contains representative Agents, tools, knowledge fixtures, and approved QA-only user identities.
2. The tester may create only one uniquely named disposable QA Agent when UAT policy permits and must otherwise cancel drafts.
3. Real customer files, secrets, broad public access, and deletion of non-QA Agents are prohibited.
4. Screen recording, timestamped notes, and defect capture are enabled.</t>
  </si>
  <si>
    <t xml:space="preserve">1. Time-box the session to 90 minutes and record the build, browser, business context, tester, permitted writes, and charter risks.
2. Vary search, sorting, scope tabs, grid/list presentation, rapid menu dismissal, refresh, browser Back/Forward, and idle/resume while checking orientation and selected state.
3. Build several unsaved drafts using boundary-length text, generated-instruction edits, synthetic files, varying tool selections, Back/Next paths, and QA-only access changes.
4. Probe cancellation, validation recovery, interrupted navigation, slow responses, repeated actions, and edit/delete confirmation safety without performing a prohibited operation.
5. If creation is permitted, create one disposable timestamped Agent, inspect its presentation and edit entry, then follow the approved cleanup process; otherwise cancel every draft.
6. Classify each observation as Issue, Question, Idea, or Passed with context, reproducible steps, evidence, and severity, then debrief coverage against the charter risks.</t>
  </si>
  <si>
    <t>90-minute session; Chrome stable; desktop 1440 x 900 plus mobile 390 x 844; QA-only resources and users; at most one approved disposable Agent; evidence taxonomy: Issue, Question, Idea, Passed.</t>
  </si>
  <si>
    <t>Discovery, all five wizard areas, resource selection, access, cancellation, recovery, and action safety are explored within the time box; no real data or unauthorized access is introduced; no draft or business context becomes silently inconsistent; any permitted disposable Agent is uniquely identifiable and cleaned up; and every anomaly has reproducible evidence, severity, and an owner-ready charter record.</t>
  </si>
  <si>
    <t>Exploratory</t>
  </si>
  <si>
    <t>Session-based exploratory testing with screen recording, timestamped notes, risk coverage map, and UAT debrief</t>
  </si>
  <si>
    <t>P0</t>
  </si>
  <si>
    <t>UAT (primary) / DEV for controlled fault exploration</t>
  </si>
  <si>
    <t>Non-Functional, Regression, Exploratory, UAT</t>
  </si>
  <si>
    <t>@non-functional @regression @exploratory @uat @agents @manual</t>
  </si>
  <si>
    <t>Agents Coverage Summary</t>
  </si>
  <si>
    <t>Automated functionality and manual UI/UX review are tracked separately.</t>
  </si>
  <si>
    <t>Section</t>
  </si>
  <si>
    <t>Metric</t>
  </si>
  <si>
    <t>Count</t>
  </si>
  <si>
    <t>Meaning</t>
  </si>
  <si>
    <t>Overview</t>
  </si>
  <si>
    <t>Automated cases</t>
  </si>
  <si>
    <t>Current Playwright-covered behaviors.</t>
  </si>
  <si>
    <t>Manual UI/UX cases</t>
  </si>
  <si>
    <t>Human-observation and assistive-tool checks.</t>
  </si>
  <si>
    <t>Total documented cases</t>
  </si>
  <si>
    <t>Complete module test design in this workbook.</t>
  </si>
  <si>
    <t>Safety</t>
  </si>
  <si>
    <t>Automated write operations</t>
  </si>
  <si>
    <t>Automated cases that persist synthetic data.</t>
  </si>
  <si>
    <t>Manual cases awaiting execution.</t>
  </si>
  <si>
    <t>Pass</t>
  </si>
  <si>
    <t>Manual cases completed successfully.</t>
  </si>
  <si>
    <t>Fail</t>
  </si>
  <si>
    <t>Manual cases with observed defects.</t>
  </si>
  <si>
    <t>Priority coverage for P0.</t>
  </si>
  <si>
    <t>Priority coverage for P1.</t>
  </si>
  <si>
    <t>Priority coverage for P2.</t>
  </si>
  <si>
    <t>Severity coverage for Critical.</t>
  </si>
  <si>
    <t>Severity coverage for Major.</t>
  </si>
  <si>
    <t>Severity coverage for Minor.</t>
  </si>
  <si>
    <t>Test suite</t>
  </si>
  <si>
    <t>30 automated and 0 manual case(s) carry @functional.</t>
  </si>
  <si>
    <t>Non-Functional</t>
  </si>
  <si>
    <t>6 automated and 34 manual case(s) carry @non-functional.</t>
  </si>
  <si>
    <t>Smoke</t>
  </si>
  <si>
    <t>1 automated and 0 manual case(s) carry @smoke.</t>
  </si>
  <si>
    <t>Production Smoke</t>
  </si>
  <si>
    <t>1 automated and 0 manual case(s) carry @prod-smoke.</t>
  </si>
  <si>
    <t>Sanity</t>
  </si>
  <si>
    <t>4 automated and 0 manual case(s) carry @sanity.</t>
  </si>
  <si>
    <t>Regression</t>
  </si>
  <si>
    <t>30 automated and 34 manual case(s) carry @regression.</t>
  </si>
  <si>
    <t>End-to-End</t>
  </si>
  <si>
    <t>7 automated and 0 manual case(s) carry @e2e.</t>
  </si>
  <si>
    <t>Integration</t>
  </si>
  <si>
    <t>5 automated and 0 manual case(s) carry @integration.</t>
  </si>
  <si>
    <t>6 automated and 1 manual case(s) carry @security.</t>
  </si>
  <si>
    <t>0 automated and 20 manual case(s) carry @a11y.</t>
  </si>
  <si>
    <t>Responsive</t>
  </si>
  <si>
    <t>0 automated and 9 manual case(s) carry @responsive.</t>
  </si>
  <si>
    <t>Visual Regression</t>
  </si>
  <si>
    <t>0 automated and 1 manual case(s) carry @visual-regression.</t>
  </si>
  <si>
    <t>0 automated and 1 manual case(s) carry @performance.</t>
  </si>
  <si>
    <t>0 automated and 1 manual case(s) carry @localization.</t>
  </si>
  <si>
    <t>0 automated and 1 manual case(s) carry @exploratory.</t>
  </si>
  <si>
    <t>UAT</t>
  </si>
  <si>
    <t>4 automated and 2 manual case(s) carry @uat.</t>
  </si>
  <si>
    <t>Assigned only when a specific failed case is rerun after a defect fix; intentionally zero at design time.</t>
  </si>
  <si>
    <t>Manual category</t>
  </si>
  <si>
    <t>Manual Accessibility review coverage.</t>
  </si>
  <si>
    <t>Manual Content resilience review coverage.</t>
  </si>
  <si>
    <t>Manual Destructive-action UX review coverage.</t>
  </si>
  <si>
    <t>Manual Empty-state UX review coverage.</t>
  </si>
  <si>
    <t>Manual Error-state UX review coverage.</t>
  </si>
  <si>
    <t>Manual Exploratory review coverage.</t>
  </si>
  <si>
    <t>Manual Feedback and state handling review coverage.</t>
  </si>
  <si>
    <t>Manual Form usability review coverage.</t>
  </si>
  <si>
    <t>Manual Localization review coverage.</t>
  </si>
  <si>
    <t>Manual Performance review coverage.</t>
  </si>
  <si>
    <t>Manual Permission UX review coverage.</t>
  </si>
  <si>
    <t>Manual Responsive accessibility review coverage.</t>
  </si>
  <si>
    <t>Manual Responsive usability review coverage.</t>
  </si>
  <si>
    <t>Manual State handling review coverage.</t>
  </si>
  <si>
    <t>Manual Upload usability review coverage.</t>
  </si>
  <si>
    <t>Manual Usability review coverage.</t>
  </si>
  <si>
    <t>Manual Validation UX review coverage.</t>
  </si>
  <si>
    <t>Manual Visual consistency review coverage.</t>
  </si>
  <si>
    <t>Manual Visual regression review coverage.</t>
  </si>
  <si>
    <t>Manual Wizard usability review coverage.</t>
  </si>
  <si>
    <t>Field</t>
  </si>
  <si>
    <t>Sheet</t>
  </si>
  <si>
    <t>Editable During Execution</t>
  </si>
  <si>
    <t>Required</t>
  </si>
  <si>
    <t>Description</t>
  </si>
  <si>
    <t>Example</t>
  </si>
  <si>
    <t>No</t>
  </si>
  <si>
    <t>Yes</t>
  </si>
  <si>
    <t>Unique Agents case reference used in evidence and defects.</t>
  </si>
  <si>
    <t>AF-001 / AF-UX-001</t>
  </si>
  <si>
    <t>Page section or user journey covered by the case.</t>
  </si>
  <si>
    <t>Agents navigation</t>
  </si>
  <si>
    <t>Why the case exists and what risk it addresses.</t>
  </si>
  <si>
    <t>Verify the interface remains understandable at 200% zoom.</t>
  </si>
  <si>
    <t>Required account, data or page state before execution.</t>
  </si>
  <si>
    <t>A valid authenticated session is available.</t>
  </si>
  <si>
    <t>Numbered actions written for a human reader.</t>
  </si>
  <si>
    <t xml:space="preserve">1. Open the module.
2. Use keyboard navigation.</t>
  </si>
  <si>
    <t>Readable rendering of the existing Excel-driven test data.</t>
  </si>
  <si>
    <t>Maximum length: 100</t>
  </si>
  <si>
    <t>Manual UI UX Cases</t>
  </si>
  <si>
    <t>Browser, viewport, zoom, assistive technology or content variant.</t>
  </si>
  <si>
    <t>Chrome, 1280×720, 200% zoom</t>
  </si>
  <si>
    <t>Observable outcome used to decide Pass or Fail.</t>
  </si>
  <si>
    <t>All controls remain visible and operable without overlap.</t>
  </si>
  <si>
    <t>Category / UX Category</t>
  </si>
  <si>
    <t>Functional grouping for automation or review discipline for manual UI/UX.</t>
  </si>
  <si>
    <t>How the UI/UX case should be evaluated.</t>
  </si>
  <si>
    <t>Keyboard-only and screen-reader review</t>
  </si>
  <si>
    <t>Execution/business priority from P0 (highest) through P3.</t>
  </si>
  <si>
    <t>Expected impact if the behavior fails.</t>
  </si>
  <si>
    <t>Confirms the case is implemented in Playwright.</t>
  </si>
  <si>
    <t>YES means the automation creates, updates, uploads or deletes synthetic data.</t>
  </si>
  <si>
    <t>Registry-derived reusable suite membership. Retest is defect-specific and is not assigned statically.</t>
  </si>
  <si>
    <t>Functional, Smoke, Regression</t>
  </si>
  <si>
    <t>Automated tags are synchronized to Playwright titles. Manual tags support test-management filtering and include @manual, module and UX-category tags.</t>
  </si>
  <si>
    <t>@non-functional @regression @manual @agents @accessibility</t>
  </si>
  <si>
    <t>Searchable catalog labels retained from the code-first case definitions; use Execution Tags for supported Playwright suite filters.</t>
  </si>
  <si>
    <t>flow, validation, tools</t>
  </si>
  <si>
    <t>Execution outcome selected from the dropdown.</t>
  </si>
  <si>
    <t>Not Run / Pass / Fail / Blocked</t>
  </si>
  <si>
    <t>When executed</t>
  </si>
  <si>
    <t>What was actually observed, including concise evidence references.</t>
  </si>
  <si>
    <t>Focus moved behind the modal.</t>
  </si>
  <si>
    <t>Executed By / On</t>
  </si>
  <si>
    <t>Executor name and execution date.</t>
  </si>
  <si>
    <t>QA User / 2026-09-21</t>
  </si>
  <si>
    <t>On failure</t>
  </si>
  <si>
    <t>Linked defect or issue identifier.</t>
  </si>
  <si>
    <t>BUG-1234</t>
  </si>
  <si>
    <t>Additional context, browser version or evidence location.</t>
  </si>
  <si>
    <t>Reproduced in Chrome and Firefox.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</si>
</sst>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8"/>
    </font>
    <font>
      <i/>
      <color rgb="FF1F4E78"/>
      <sz val="11"/>
    </font>
    <font>
      <b/>
      <color rgb="FFFFFFFF"/>
      <sz val="10"/>
    </font>
    <font>
      <b/>
      <color rgb="FF17365D"/>
    </font>
    <font>
      <sz val="10"/>
    </font>
    <font>
      <sz val="9"/>
      <name val="Aptos"/>
    </font>
    <font>
      <b/>
    </font>
    <font>
      <b/>
      <color rgb="FF9C5700"/>
    </font>
    <font>
      <b/>
      <color rgb="FFFFFFFF"/>
      <sz val="17"/>
    </font>
    <font>
      <i/>
      <color rgb="FF1F4E78"/>
    </font>
    <font>
      <b/>
      <color rgb="FF548235"/>
    </font>
  </fonts>
  <fills count="9">
    <fill>
      <patternFill patternType="none"/>
    </fill>
    <fill>
      <patternFill patternType="gray125"/>
    </fill>
    <fill>
      <patternFill patternType="solid">
        <fgColor rgb="FF1F4E78"/>
      </patternFill>
    </fill>
    <fill>
      <patternFill patternType="solid">
        <fgColor rgb="FFFCE4D6"/>
      </patternFill>
    </fill>
    <fill>
      <patternFill patternType="solid">
        <fgColor rgb="FFC65911"/>
      </patternFill>
    </fill>
    <fill>
      <patternFill patternType="solid">
        <fgColor rgb="FFFFF2CC"/>
      </patternFill>
    </fill>
    <fill>
      <patternFill patternType="solid">
        <fgColor rgb="FFF4CCCC"/>
      </patternFill>
    </fill>
    <fill>
      <patternFill patternType="solid">
        <fgColor rgb="FF548235"/>
      </patternFill>
    </fill>
    <fill>
      <patternFill patternType="solid">
        <fgColor rgb="FF0F6B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25">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2" borderId="0" xfId="0" applyFont="1" applyFill="1" applyAlignment="1">
      <alignment horizontal="center" vertical="center" wrapText="1"/>
    </xf>
    <xf numFmtId="0" fontId="0" fillId="0" borderId="0" xfId="0"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7" fillId="3" borderId="0" xfId="0" applyFont="1" applyFill="1" applyAlignment="1">
      <alignment vertical="top" wrapText="1"/>
    </xf>
    <xf numFmtId="0" fontId="5" fillId="3" borderId="0" xfId="0" applyFont="1" applyFill="1" applyAlignment="1">
      <alignment vertical="top" wrapText="1"/>
    </xf>
    <xf numFmtId="0" fontId="8" fillId="3" borderId="0" xfId="0" applyFont="1" applyFill="1" applyAlignment="1">
      <alignment vertical="top" wrapText="1"/>
    </xf>
    <xf numFmtId="0" fontId="3" fillId="4" borderId="0" xfId="0" applyFont="1" applyFill="1" applyAlignment="1">
      <alignment horizontal="center" vertical="center" wrapText="1"/>
    </xf>
    <xf numFmtId="0" fontId="5" fillId="5" borderId="0" xfId="0" applyFont="1" applyFill="1" applyAlignment="1">
      <alignment vertical="top" wrapText="1"/>
    </xf>
    <xf numFmtId="0" fontId="7" fillId="5" borderId="0" xfId="0" applyFont="1" applyFill="1" applyAlignment="1">
      <alignment vertical="top" wrapText="1"/>
    </xf>
    <xf numFmtId="0" fontId="7" fillId="6" borderId="0" xfId="0" applyFont="1" applyFill="1" applyAlignment="1">
      <alignment vertical="top" wrapText="1"/>
    </xf>
    <xf numFmtId="0" fontId="9" fillId="7" borderId="0" xfId="0" applyFont="1" applyFill="1" applyAlignment="1">
      <alignment horizontal="left" vertical="center"/>
    </xf>
    <xf numFmtId="0" fontId="10" fillId="0" borderId="0" xfId="0" applyFont="1"/>
    <xf numFmtId="0" fontId="3" fillId="7" borderId="0" xfId="0" applyFont="1" applyFill="1" applyAlignment="1">
      <alignment horizontal="center" vertical="center" wrapText="1"/>
    </xf>
    <xf numFmtId="0" fontId="0" fillId="0" borderId="0" xfId="0" applyAlignment="1">
      <alignment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11" fillId="0" borderId="1" xfId="0" applyFont="1" applyBorder="1" applyAlignment="1">
      <alignment horizontal="center"/>
    </xf>
    <xf numFmtId="0" fontId="3" fillId="8"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AgentsAutomatedCases" displayName="AgentsAutomatedCases" ref="A1:V31" totalsRowShown="1" headerRowCount="1">
  <autoFilter ref="A1:V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name="Sequence" totalsRowLabel="Total"/>
    <tableColumn id="2" name="Test Case ID" totalsRowFunction="none"/>
    <tableColumn id="3" name="Module" totalsRowFunction="none"/>
    <tableColumn id="4" name="Feature / Area" totalsRowFunction="none"/>
    <tableColumn id="5" name="Test Case Title" totalsRowFunction="none"/>
    <tableColumn id="6" name="Objective" totalsRowFunction="none"/>
    <tableColumn id="7" name="Preconditions" totalsRowFunction="none"/>
    <tableColumn id="8" name="Test Steps" totalsRowFunction="none"/>
    <tableColumn id="9" name="Test Data / Inputs" totalsRowFunction="none"/>
    <tableColumn id="10" name="Expected Result" totalsRowFunction="none"/>
    <tableColumn id="11" name="Category" totalsRowFunction="none"/>
    <tableColumn id="12" name="Scenario Type" totalsRowFunction="none"/>
    <tableColumn id="13" name="Priority" totalsRowFunction="none"/>
    <tableColumn id="14" name="Severity" totalsRowFunction="none"/>
    <tableColumn id="15" name="Automation Status" totalsRowFunction="none"/>
    <tableColumn id="16" name="Write Operation" totalsRowFunction="none"/>
    <tableColumn id="17" name="Environment" totalsRowFunction="none"/>
    <tableColumn id="18" name="Test Suites" totalsRowFunction="none"/>
    <tableColumn id="19" name="Execution Tags" totalsRowFunction="none"/>
    <tableColumn id="20" name="Tags" totalsRowFunction="none"/>
    <tableColumn id="21" name="Source" totalsRowFunction="none"/>
    <tableColumn id="22" name="Notes" totalsRowFunction="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AgentsManualUiUxCases" displayName="AgentsManualUiUxCases" ref="A1:W35" totalsRowShown="1" headerRowCount="1">
  <autoFilter ref="A1:W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name="Sequence" totalsRowLabel="Total"/>
    <tableColumn id="2" name="Test Case ID" totalsRowFunction="none"/>
    <tableColumn id="3" name="Module" totalsRowFunction="none"/>
    <tableColumn id="4" name="Feature / Area" totalsRowFunction="none"/>
    <tableColumn id="5" name="Test Case Title" totalsRowFunction="none"/>
    <tableColumn id="6" name="Objective" totalsRowFunction="none"/>
    <tableColumn id="7" name="Preconditions" totalsRowFunction="none"/>
    <tableColumn id="8" name="Test Steps" totalsRowFunction="none"/>
    <tableColumn id="9" name="Test Data / Viewport" totalsRowFunction="none"/>
    <tableColumn id="10" name="Expected Result" totalsRowFunction="none"/>
    <tableColumn id="11" name="UX Category" totalsRowFunction="none"/>
    <tableColumn id="12" name="Review Method" totalsRowFunction="none"/>
    <tableColumn id="13" name="Priority" totalsRowFunction="none"/>
    <tableColumn id="14" name="Severity" totalsRowFunction="none"/>
    <tableColumn id="15" name="Recommended Environment" totalsRowFunction="none"/>
    <tableColumn id="16" name="Test Suites" totalsRowFunction="none"/>
    <tableColumn id="17" name="Execution Tags" totalsRowFunction="none"/>
    <tableColumn id="18" name="Status" totalsRowFunction="none"/>
    <tableColumn id="19" name="Actual Result" totalsRowFunction="none"/>
    <tableColumn id="20" name="Executed By" totalsRowFunction="none"/>
    <tableColumn id="21" name="Executed On" totalsRowFunction="none"/>
    <tableColumn id="22" name="Defect ID" totalsRowFunction="none"/>
    <tableColumn id="23" name="Remarks" totalsRowFunction="no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AgentsUiUxFieldReference" displayName="AgentsUiUxFieldReference" ref="A1:F23" totalsRowShown="1" headerRowCount="1">
  <autoFilter ref="A1:F23">
    <filterColumn colId="0" hiddenButton="1"/>
    <filterColumn colId="1" hiddenButton="1"/>
    <filterColumn colId="2" hiddenButton="1"/>
    <filterColumn colId="3" hiddenButton="1"/>
    <filterColumn colId="4" hiddenButton="1"/>
    <filterColumn colId="5" hiddenButton="1"/>
  </autoFilter>
  <tableColumns count="6">
    <tableColumn id="1" name="Field" totalsRowLabel="Total"/>
    <tableColumn id="2" name="Sheet" totalsRowFunction="none"/>
    <tableColumn id="3" name="Editable During Execution" totalsRowFunction="none"/>
    <tableColumn id="4" name="Required" totalsRowFunction="none"/>
    <tableColumn id="5" name="Description" totalsRowFunction="none"/>
    <tableColumn id="6" name="Example" totalsRowFunction="non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8"/>
    <pageSetUpPr fitToPage="1"/>
  </sheetPr>
  <dimension ref="A1:C25"/>
  <sheetViews>
    <sheetView workbookViewId="0" showGridLines="0">
      <pane ySplit="4" topLeftCell="A5" activePane="bottomLeft" state="frozen"/>
      <selection pane="bottomLeft"/>
    </sheetView>
  </sheetViews>
  <sheetFormatPr defaultRowHeight="15" outlineLevelRow="0" outlineLevelCol="0" x14ac:dyDescent="55"/>
  <cols>
    <col min="1" max="1" width="28" customWidth="1"/>
    <col min="2" max="2" width="108" customWidth="1"/>
    <col min="3" max="3" width="25" customWidth="1"/>
  </cols>
  <sheetData>
    <row r="1" ht="34" customHeight="1" spans="1:3" x14ac:dyDescent="0.25">
      <c r="A1" s="1" t="s">
        <v>0</v>
      </c>
      <c r="B1" s="1"/>
      <c r="C1" s="1"/>
    </row>
    <row r="2" ht="24" customHeight="1" spans="1:3" x14ac:dyDescent="0.25">
      <c r="A2" s="2" t="s">
        <v>1</v>
      </c>
      <c r="B2" s="2"/>
      <c r="C2" s="2"/>
    </row>
    <row r="3" spans="1:3" x14ac:dyDescent="0.25"/>
    <row r="4" ht="30" customHeight="1" spans="1:3" s="3" customFormat="1" x14ac:dyDescent="0.25">
      <c r="A4" s="3" t="s">
        <v>2</v>
      </c>
      <c r="B4" s="3" t="s">
        <v>3</v>
      </c>
      <c r="C4" s="3" t="s">
        <v>4</v>
      </c>
    </row>
    <row r="5" ht="36" customHeight="1" spans="1:3" s="4" customFormat="1" x14ac:dyDescent="0.25">
      <c r="A5" s="5" t="s">
        <v>5</v>
      </c>
      <c r="B5" s="6" t="s">
        <v>6</v>
      </c>
      <c r="C5" s="6" t="s">
        <v>7</v>
      </c>
    </row>
    <row r="6" ht="36" customHeight="1" spans="1:3" s="4" customFormat="1" x14ac:dyDescent="0.25">
      <c r="A6" s="5" t="s">
        <v>8</v>
      </c>
      <c r="B6" s="6" t="s">
        <v>9</v>
      </c>
      <c r="C6" s="6" t="s">
        <v>10</v>
      </c>
    </row>
    <row r="7" ht="36" customHeight="1" spans="1:3" s="4" customFormat="1" x14ac:dyDescent="0.25">
      <c r="A7" s="5" t="s">
        <v>11</v>
      </c>
      <c r="B7" s="6" t="s">
        <v>12</v>
      </c>
      <c r="C7" s="6" t="s">
        <v>13</v>
      </c>
    </row>
    <row r="8" ht="36" customHeight="1" spans="1:3" s="4" customFormat="1" x14ac:dyDescent="0.25">
      <c r="A8" s="5" t="s">
        <v>14</v>
      </c>
      <c r="B8" s="6" t="s">
        <v>15</v>
      </c>
      <c r="C8" s="6" t="s">
        <v>14</v>
      </c>
    </row>
    <row r="9" ht="36" customHeight="1" spans="1:3" s="4" customFormat="1" x14ac:dyDescent="0.25">
      <c r="A9" s="5" t="s">
        <v>16</v>
      </c>
      <c r="B9" s="6" t="s">
        <v>17</v>
      </c>
      <c r="C9" s="6" t="s">
        <v>16</v>
      </c>
    </row>
    <row r="10" ht="36" customHeight="1" spans="1:3" s="4" customFormat="1" x14ac:dyDescent="0.25">
      <c r="A10" s="5" t="s">
        <v>18</v>
      </c>
      <c r="B10" s="6" t="s">
        <v>19</v>
      </c>
      <c r="C10" s="6" t="s">
        <v>13</v>
      </c>
    </row>
    <row r="11" ht="36" customHeight="1" spans="1:3" s="4" customFormat="1" x14ac:dyDescent="0.25">
      <c r="A11" s="5" t="s">
        <v>20</v>
      </c>
      <c r="B11" s="6" t="s">
        <v>21</v>
      </c>
      <c r="C11" s="6" t="s">
        <v>16</v>
      </c>
    </row>
    <row r="12" ht="36" customHeight="1" spans="1:3" s="4" customFormat="1" x14ac:dyDescent="0.25">
      <c r="A12" s="5" t="s">
        <v>22</v>
      </c>
      <c r="B12" s="6" t="s">
        <v>23</v>
      </c>
      <c r="C12" s="6" t="s">
        <v>16</v>
      </c>
    </row>
    <row r="13" ht="36" customHeight="1" spans="1:3" s="4" customFormat="1" x14ac:dyDescent="0.25">
      <c r="A13" s="5" t="s">
        <v>24</v>
      </c>
      <c r="B13" s="6" t="s">
        <v>25</v>
      </c>
      <c r="C13" s="6" t="s">
        <v>26</v>
      </c>
    </row>
    <row r="14" ht="36" customHeight="1" spans="1:3" s="4" customFormat="1" x14ac:dyDescent="0.25">
      <c r="A14" s="5" t="s">
        <v>27</v>
      </c>
      <c r="B14" s="6" t="s">
        <v>28</v>
      </c>
      <c r="C14" s="6" t="s">
        <v>29</v>
      </c>
    </row>
    <row r="15" ht="36" customHeight="1" spans="1:3" s="4" customFormat="1" x14ac:dyDescent="0.25">
      <c r="A15" s="5" t="s">
        <v>30</v>
      </c>
      <c r="B15" s="6" t="s">
        <v>31</v>
      </c>
      <c r="C15" s="6" t="s">
        <v>29</v>
      </c>
    </row>
    <row r="16" ht="36" customHeight="1" spans="1:3" s="4" customFormat="1" x14ac:dyDescent="0.25">
      <c r="A16" s="5" t="s">
        <v>32</v>
      </c>
      <c r="B16" s="6" t="s">
        <v>33</v>
      </c>
      <c r="C16" s="6" t="s">
        <v>14</v>
      </c>
    </row>
    <row r="17" ht="36" customHeight="1" spans="1:3" s="4" customFormat="1" x14ac:dyDescent="0.25">
      <c r="A17" s="5" t="s">
        <v>34</v>
      </c>
      <c r="B17" s="6" t="s">
        <v>35</v>
      </c>
      <c r="C17" s="6" t="s">
        <v>14</v>
      </c>
    </row>
    <row r="18" ht="36" customHeight="1" spans="1:3" s="4" customFormat="1" x14ac:dyDescent="0.25">
      <c r="A18" s="5" t="s">
        <v>36</v>
      </c>
      <c r="B18" s="6" t="s">
        <v>37</v>
      </c>
      <c r="C18" s="6" t="s">
        <v>16</v>
      </c>
    </row>
    <row r="19" ht="36" customHeight="1" spans="1:3" s="4" customFormat="1" x14ac:dyDescent="0.25">
      <c r="A19" s="5" t="s">
        <v>38</v>
      </c>
      <c r="B19" s="6" t="s">
        <v>39</v>
      </c>
      <c r="C19" s="6" t="s">
        <v>40</v>
      </c>
    </row>
    <row r="20" ht="36" customHeight="1" spans="1:3" s="4" customFormat="1" x14ac:dyDescent="0.25">
      <c r="A20" s="5" t="s">
        <v>41</v>
      </c>
      <c r="B20" s="6" t="s">
        <v>42</v>
      </c>
      <c r="C20" s="6" t="s">
        <v>43</v>
      </c>
    </row>
    <row r="21" ht="36" customHeight="1" spans="1:3" s="4" customFormat="1" x14ac:dyDescent="0.25">
      <c r="A21" s="5" t="s">
        <v>44</v>
      </c>
      <c r="B21" s="6" t="s">
        <v>45</v>
      </c>
      <c r="C21" s="6" t="s">
        <v>46</v>
      </c>
    </row>
    <row r="22" ht="36" customHeight="1" spans="1:3" s="4" customFormat="1" x14ac:dyDescent="0.25">
      <c r="A22" s="5" t="s">
        <v>47</v>
      </c>
      <c r="B22" s="6" t="s">
        <v>48</v>
      </c>
      <c r="C22" s="6" t="s">
        <v>49</v>
      </c>
    </row>
    <row r="23" ht="36" customHeight="1" spans="1:3" s="4" customFormat="1" x14ac:dyDescent="0.25">
      <c r="A23" s="5" t="s">
        <v>50</v>
      </c>
      <c r="B23" s="6" t="s">
        <v>51</v>
      </c>
      <c r="C23" s="6" t="s">
        <v>52</v>
      </c>
    </row>
    <row r="24" ht="36" customHeight="1" spans="1:3" s="4" customFormat="1" x14ac:dyDescent="0.25">
      <c r="A24" s="5" t="s">
        <v>53</v>
      </c>
      <c r="B24" s="6" t="s">
        <v>54</v>
      </c>
      <c r="C24" s="6" t="s">
        <v>55</v>
      </c>
    </row>
    <row r="25" ht="36" customHeight="1" spans="1:3" s="4" customFormat="1" x14ac:dyDescent="0.25">
      <c r="A25" s="5" t="s">
        <v>56</v>
      </c>
      <c r="B25" s="6" t="s">
        <v>57</v>
      </c>
      <c r="C25" s="6" t="s">
        <v>58</v>
      </c>
    </row>
  </sheetData>
  <autoFilter ref="A4:C4"/>
  <mergeCells count="2">
    <mergeCell ref="A1:C1"/>
    <mergeCell ref="A2:C2"/>
  </mergeCells>
  <pageMargins left="0.25" right="0.25" top="0.5" bottom="0.5" header="0.2" footer="0.2"/>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8"/>
    <pageSetUpPr fitToPage="1"/>
  </sheetPr>
  <dimension ref="A1:V31"/>
  <sheetViews>
    <sheetView workbookViewId="0" showGridLines="0" zoomScale="75">
      <pane xSplit="3" ySplit="1" topLeftCell="D2" activePane="bottomRight" state="frozen"/>
      <selection pane="bottomRight"/>
    </sheetView>
  </sheetViews>
  <sheetFormatPr defaultRowHeight="15" outlineLevelRow="0" outlineLevelCol="0" x14ac:dyDescent="55"/>
  <cols>
    <col min="1" max="1" width="10" customWidth="1"/>
    <col min="2" max="3" width="15" customWidth="1"/>
    <col min="4" max="4" width="30" customWidth="1"/>
    <col min="5" max="5" width="46" customWidth="1"/>
    <col min="6" max="6" width="54" customWidth="1"/>
    <col min="7" max="7" width="52" customWidth="1"/>
    <col min="8" max="8" width="66" customWidth="1"/>
    <col min="9" max="9" width="58" customWidth="1"/>
    <col min="10" max="10" width="62" customWidth="1"/>
    <col min="11" max="11" width="20" customWidth="1"/>
    <col min="12" max="12" width="22" customWidth="1"/>
    <col min="13" max="13" width="10" customWidth="1"/>
    <col min="14" max="14" width="12" customWidth="1"/>
    <col min="15" max="15" width="18" customWidth="1"/>
    <col min="16" max="16" width="16" customWidth="1"/>
    <col min="17" max="17" width="30" customWidth="1"/>
    <col min="18" max="18" width="42" customWidth="1"/>
    <col min="19" max="19" width="54" customWidth="1"/>
    <col min="20" max="20" width="40" customWidth="1"/>
    <col min="21" max="21" width="31" customWidth="1"/>
    <col min="22" max="22" width="35" customWidth="1"/>
  </cols>
  <sheetData>
    <row r="1" ht="30" customHeight="1" spans="1:22" s="3" customFormat="1" x14ac:dyDescent="0.25">
      <c r="A1" s="3" t="s">
        <v>59</v>
      </c>
      <c r="B1" s="3" t="s">
        <v>60</v>
      </c>
      <c r="C1" s="3" t="s">
        <v>61</v>
      </c>
      <c r="D1" s="3" t="s">
        <v>62</v>
      </c>
      <c r="E1" s="3" t="s">
        <v>63</v>
      </c>
      <c r="F1" s="3" t="s">
        <v>64</v>
      </c>
      <c r="G1" s="3" t="s">
        <v>65</v>
      </c>
      <c r="H1" s="3" t="s">
        <v>66</v>
      </c>
      <c r="I1" s="3" t="s">
        <v>67</v>
      </c>
      <c r="J1" s="3" t="s">
        <v>68</v>
      </c>
      <c r="K1" s="3" t="s">
        <v>69</v>
      </c>
      <c r="L1" s="3" t="s">
        <v>70</v>
      </c>
      <c r="M1" s="3" t="s">
        <v>71</v>
      </c>
      <c r="N1" s="3" t="s">
        <v>72</v>
      </c>
      <c r="O1" s="3" t="s">
        <v>73</v>
      </c>
      <c r="P1" s="3" t="s">
        <v>74</v>
      </c>
      <c r="Q1" s="3" t="s">
        <v>75</v>
      </c>
      <c r="R1" s="3" t="s">
        <v>27</v>
      </c>
      <c r="S1" s="3" t="s">
        <v>30</v>
      </c>
      <c r="T1" s="3" t="s">
        <v>76</v>
      </c>
      <c r="U1" s="3" t="s">
        <v>77</v>
      </c>
      <c r="V1" s="3" t="s">
        <v>78</v>
      </c>
    </row>
    <row r="2" ht="76" customHeight="1" spans="1:22" s="7" customFormat="1" x14ac:dyDescent="0.25">
      <c r="A2" s="7">
        <v>1</v>
      </c>
      <c r="B2" s="8" t="s">
        <v>79</v>
      </c>
      <c r="C2" s="7" t="s">
        <v>80</v>
      </c>
      <c r="D2" s="7" t="s">
        <v>81</v>
      </c>
      <c r="E2" s="7" t="s">
        <v>82</v>
      </c>
      <c r="F2" s="7" t="s">
        <v>83</v>
      </c>
      <c r="G2" s="7" t="s">
        <v>84</v>
      </c>
      <c r="H2" s="7" t="s">
        <v>85</v>
      </c>
      <c r="I2" s="9" t="s">
        <v>86</v>
      </c>
      <c r="J2" s="7" t="s">
        <v>87</v>
      </c>
      <c r="K2" s="7" t="s">
        <v>88</v>
      </c>
      <c r="L2" s="7" t="s">
        <v>89</v>
      </c>
      <c r="M2" s="10" t="s">
        <v>90</v>
      </c>
      <c r="N2" s="7" t="s">
        <v>91</v>
      </c>
      <c r="O2" s="7" t="s">
        <v>92</v>
      </c>
      <c r="P2" s="7" t="s">
        <v>93</v>
      </c>
      <c r="Q2" s="7" t="s">
        <v>94</v>
      </c>
      <c r="R2" s="7" t="s">
        <v>95</v>
      </c>
      <c r="S2" s="7" t="s">
        <v>96</v>
      </c>
      <c r="T2" s="7" t="s">
        <v>97</v>
      </c>
      <c r="U2" s="7" t="s">
        <v>98</v>
      </c>
      <c r="V2" s="7" t="s">
        <v>99</v>
      </c>
    </row>
    <row r="3" ht="76" customHeight="1" spans="1:22" s="7" customFormat="1" x14ac:dyDescent="0.25">
      <c r="A3" s="7">
        <v>2</v>
      </c>
      <c r="B3" s="8" t="s">
        <v>100</v>
      </c>
      <c r="C3" s="7" t="s">
        <v>80</v>
      </c>
      <c r="D3" s="7" t="s">
        <v>101</v>
      </c>
      <c r="E3" s="7" t="s">
        <v>102</v>
      </c>
      <c r="F3" s="7" t="s">
        <v>103</v>
      </c>
      <c r="G3" s="7" t="s">
        <v>104</v>
      </c>
      <c r="H3" s="7" t="s">
        <v>105</v>
      </c>
      <c r="I3" s="9" t="s">
        <v>86</v>
      </c>
      <c r="J3" s="7" t="s">
        <v>106</v>
      </c>
      <c r="K3" s="7" t="s">
        <v>88</v>
      </c>
      <c r="L3" s="7" t="s">
        <v>89</v>
      </c>
      <c r="M3" s="10" t="s">
        <v>90</v>
      </c>
      <c r="N3" s="7" t="s">
        <v>91</v>
      </c>
      <c r="O3" s="7" t="s">
        <v>92</v>
      </c>
      <c r="P3" s="7" t="s">
        <v>93</v>
      </c>
      <c r="Q3" s="7" t="s">
        <v>94</v>
      </c>
      <c r="R3" s="7" t="s">
        <v>107</v>
      </c>
      <c r="S3" s="7" t="s">
        <v>108</v>
      </c>
      <c r="T3" s="7" t="s">
        <v>109</v>
      </c>
      <c r="U3" s="7" t="s">
        <v>98</v>
      </c>
      <c r="V3" s="7" t="s">
        <v>99</v>
      </c>
    </row>
    <row r="4" ht="76" customHeight="1" spans="1:22" s="7" customFormat="1" x14ac:dyDescent="0.25">
      <c r="A4" s="7">
        <v>3</v>
      </c>
      <c r="B4" s="8" t="s">
        <v>110</v>
      </c>
      <c r="C4" s="7" t="s">
        <v>80</v>
      </c>
      <c r="D4" s="7" t="s">
        <v>101</v>
      </c>
      <c r="E4" s="7" t="s">
        <v>111</v>
      </c>
      <c r="F4" s="7" t="s">
        <v>112</v>
      </c>
      <c r="G4" s="7" t="s">
        <v>84</v>
      </c>
      <c r="H4" s="7" t="s">
        <v>113</v>
      </c>
      <c r="I4" s="9" t="s">
        <v>114</v>
      </c>
      <c r="J4" s="7" t="s">
        <v>115</v>
      </c>
      <c r="K4" s="7" t="s">
        <v>88</v>
      </c>
      <c r="L4" s="7" t="s">
        <v>89</v>
      </c>
      <c r="M4" s="10" t="s">
        <v>90</v>
      </c>
      <c r="N4" s="7" t="s">
        <v>91</v>
      </c>
      <c r="O4" s="7" t="s">
        <v>92</v>
      </c>
      <c r="P4" s="7" t="s">
        <v>93</v>
      </c>
      <c r="Q4" s="7" t="s">
        <v>94</v>
      </c>
      <c r="R4" s="7" t="s">
        <v>116</v>
      </c>
      <c r="S4" s="7" t="s">
        <v>117</v>
      </c>
      <c r="T4" s="7" t="s">
        <v>118</v>
      </c>
      <c r="U4" s="7" t="s">
        <v>98</v>
      </c>
      <c r="V4" s="7" t="s">
        <v>99</v>
      </c>
    </row>
    <row r="5" ht="76" customHeight="1" spans="1:22" s="7" customFormat="1" x14ac:dyDescent="0.25">
      <c r="A5" s="7">
        <v>4</v>
      </c>
      <c r="B5" s="8" t="s">
        <v>119</v>
      </c>
      <c r="C5" s="7" t="s">
        <v>80</v>
      </c>
      <c r="D5" s="7" t="s">
        <v>101</v>
      </c>
      <c r="E5" s="7" t="s">
        <v>120</v>
      </c>
      <c r="F5" s="7" t="s">
        <v>121</v>
      </c>
      <c r="G5" s="7" t="s">
        <v>122</v>
      </c>
      <c r="H5" s="7" t="s">
        <v>123</v>
      </c>
      <c r="I5" s="9" t="s">
        <v>124</v>
      </c>
      <c r="J5" s="7" t="s">
        <v>125</v>
      </c>
      <c r="K5" s="7" t="s">
        <v>88</v>
      </c>
      <c r="L5" s="7" t="s">
        <v>89</v>
      </c>
      <c r="M5" s="10" t="s">
        <v>90</v>
      </c>
      <c r="N5" s="7" t="s">
        <v>91</v>
      </c>
      <c r="O5" s="7" t="s">
        <v>92</v>
      </c>
      <c r="P5" s="7" t="s">
        <v>93</v>
      </c>
      <c r="Q5" s="7" t="s">
        <v>94</v>
      </c>
      <c r="R5" s="7" t="s">
        <v>116</v>
      </c>
      <c r="S5" s="7" t="s">
        <v>117</v>
      </c>
      <c r="T5" s="7" t="s">
        <v>126</v>
      </c>
      <c r="U5" s="7" t="s">
        <v>98</v>
      </c>
      <c r="V5" s="7" t="s">
        <v>99</v>
      </c>
    </row>
    <row r="6" ht="76" customHeight="1" spans="1:22" s="7" customFormat="1" x14ac:dyDescent="0.25">
      <c r="A6" s="7">
        <v>5</v>
      </c>
      <c r="B6" s="8" t="s">
        <v>127</v>
      </c>
      <c r="C6" s="7" t="s">
        <v>80</v>
      </c>
      <c r="D6" s="7" t="s">
        <v>81</v>
      </c>
      <c r="E6" s="7" t="s">
        <v>128</v>
      </c>
      <c r="F6" s="7" t="s">
        <v>129</v>
      </c>
      <c r="G6" s="7" t="s">
        <v>84</v>
      </c>
      <c r="H6" s="7" t="s">
        <v>130</v>
      </c>
      <c r="I6" s="9" t="s">
        <v>131</v>
      </c>
      <c r="J6" s="7" t="s">
        <v>132</v>
      </c>
      <c r="K6" s="7" t="s">
        <v>88</v>
      </c>
      <c r="L6" s="7" t="s">
        <v>89</v>
      </c>
      <c r="M6" s="10" t="s">
        <v>90</v>
      </c>
      <c r="N6" s="7" t="s">
        <v>91</v>
      </c>
      <c r="O6" s="7" t="s">
        <v>92</v>
      </c>
      <c r="P6" s="7" t="s">
        <v>93</v>
      </c>
      <c r="Q6" s="7" t="s">
        <v>94</v>
      </c>
      <c r="R6" s="7" t="s">
        <v>116</v>
      </c>
      <c r="S6" s="7" t="s">
        <v>117</v>
      </c>
      <c r="T6" s="7" t="s">
        <v>133</v>
      </c>
      <c r="U6" s="7" t="s">
        <v>98</v>
      </c>
      <c r="V6" s="7" t="s">
        <v>99</v>
      </c>
    </row>
    <row r="7" ht="76" customHeight="1" spans="1:22" s="7" customFormat="1" x14ac:dyDescent="0.25">
      <c r="A7" s="7">
        <v>6</v>
      </c>
      <c r="B7" s="8" t="s">
        <v>134</v>
      </c>
      <c r="C7" s="7" t="s">
        <v>80</v>
      </c>
      <c r="D7" s="7" t="s">
        <v>135</v>
      </c>
      <c r="E7" s="7" t="s">
        <v>136</v>
      </c>
      <c r="F7" s="7" t="s">
        <v>137</v>
      </c>
      <c r="G7" s="7" t="s">
        <v>84</v>
      </c>
      <c r="H7" s="7" t="s">
        <v>138</v>
      </c>
      <c r="I7" s="9" t="s">
        <v>139</v>
      </c>
      <c r="J7" s="7" t="s">
        <v>140</v>
      </c>
      <c r="K7" s="7" t="s">
        <v>88</v>
      </c>
      <c r="L7" s="7" t="s">
        <v>89</v>
      </c>
      <c r="M7" s="10" t="s">
        <v>90</v>
      </c>
      <c r="N7" s="7" t="s">
        <v>91</v>
      </c>
      <c r="O7" s="7" t="s">
        <v>92</v>
      </c>
      <c r="P7" s="7" t="s">
        <v>93</v>
      </c>
      <c r="Q7" s="7" t="s">
        <v>94</v>
      </c>
      <c r="R7" s="7" t="s">
        <v>107</v>
      </c>
      <c r="S7" s="7" t="s">
        <v>108</v>
      </c>
      <c r="T7" s="7" t="s">
        <v>141</v>
      </c>
      <c r="U7" s="7" t="s">
        <v>98</v>
      </c>
      <c r="V7" s="7" t="s">
        <v>99</v>
      </c>
    </row>
    <row r="8" ht="76" customHeight="1" spans="1:22" s="7" customFormat="1" x14ac:dyDescent="0.25">
      <c r="A8" s="7">
        <v>7</v>
      </c>
      <c r="B8" s="8" t="s">
        <v>142</v>
      </c>
      <c r="C8" s="7" t="s">
        <v>80</v>
      </c>
      <c r="D8" s="7" t="s">
        <v>135</v>
      </c>
      <c r="E8" s="7" t="s">
        <v>143</v>
      </c>
      <c r="F8" s="7" t="s">
        <v>144</v>
      </c>
      <c r="G8" s="7" t="s">
        <v>84</v>
      </c>
      <c r="H8" s="7" t="s">
        <v>145</v>
      </c>
      <c r="I8" s="9" t="s">
        <v>146</v>
      </c>
      <c r="J8" s="7" t="s">
        <v>147</v>
      </c>
      <c r="K8" s="7" t="s">
        <v>88</v>
      </c>
      <c r="L8" s="7" t="s">
        <v>148</v>
      </c>
      <c r="M8" s="10" t="s">
        <v>90</v>
      </c>
      <c r="N8" s="7" t="s">
        <v>91</v>
      </c>
      <c r="O8" s="7" t="s">
        <v>92</v>
      </c>
      <c r="P8" s="7" t="s">
        <v>93</v>
      </c>
      <c r="Q8" s="7" t="s">
        <v>94</v>
      </c>
      <c r="R8" s="7" t="s">
        <v>116</v>
      </c>
      <c r="S8" s="7" t="s">
        <v>117</v>
      </c>
      <c r="T8" s="7" t="s">
        <v>149</v>
      </c>
      <c r="U8" s="7" t="s">
        <v>98</v>
      </c>
      <c r="V8" s="7" t="s">
        <v>99</v>
      </c>
    </row>
    <row r="9" ht="76" customHeight="1" spans="1:22" s="7" customFormat="1" x14ac:dyDescent="0.25">
      <c r="A9" s="7">
        <v>8</v>
      </c>
      <c r="B9" s="8" t="s">
        <v>150</v>
      </c>
      <c r="C9" s="7" t="s">
        <v>80</v>
      </c>
      <c r="D9" s="7" t="s">
        <v>151</v>
      </c>
      <c r="E9" s="7" t="s">
        <v>152</v>
      </c>
      <c r="F9" s="7" t="s">
        <v>153</v>
      </c>
      <c r="G9" s="7" t="s">
        <v>84</v>
      </c>
      <c r="H9" s="7" t="s">
        <v>154</v>
      </c>
      <c r="I9" s="9" t="s">
        <v>155</v>
      </c>
      <c r="J9" s="7" t="s">
        <v>156</v>
      </c>
      <c r="K9" s="7" t="s">
        <v>88</v>
      </c>
      <c r="L9" s="7" t="s">
        <v>157</v>
      </c>
      <c r="M9" s="10" t="s">
        <v>90</v>
      </c>
      <c r="N9" s="11" t="s">
        <v>158</v>
      </c>
      <c r="O9" s="7" t="s">
        <v>92</v>
      </c>
      <c r="P9" s="7" t="s">
        <v>93</v>
      </c>
      <c r="Q9" s="7" t="s">
        <v>94</v>
      </c>
      <c r="R9" s="7" t="s">
        <v>116</v>
      </c>
      <c r="S9" s="7" t="s">
        <v>117</v>
      </c>
      <c r="T9" s="7" t="s">
        <v>159</v>
      </c>
      <c r="U9" s="7" t="s">
        <v>98</v>
      </c>
      <c r="V9" s="7" t="s">
        <v>99</v>
      </c>
    </row>
    <row r="10" ht="76" customHeight="1" spans="1:22" s="7" customFormat="1" x14ac:dyDescent="0.25">
      <c r="A10" s="7">
        <v>9</v>
      </c>
      <c r="B10" s="8" t="s">
        <v>160</v>
      </c>
      <c r="C10" s="7" t="s">
        <v>80</v>
      </c>
      <c r="D10" s="7" t="s">
        <v>151</v>
      </c>
      <c r="E10" s="7" t="s">
        <v>161</v>
      </c>
      <c r="F10" s="7" t="s">
        <v>162</v>
      </c>
      <c r="G10" s="7" t="s">
        <v>84</v>
      </c>
      <c r="H10" s="7" t="s">
        <v>163</v>
      </c>
      <c r="I10" s="9" t="s">
        <v>164</v>
      </c>
      <c r="J10" s="7" t="s">
        <v>165</v>
      </c>
      <c r="K10" s="7" t="s">
        <v>88</v>
      </c>
      <c r="L10" s="7" t="s">
        <v>157</v>
      </c>
      <c r="M10" s="10" t="s">
        <v>90</v>
      </c>
      <c r="N10" s="11" t="s">
        <v>158</v>
      </c>
      <c r="O10" s="7" t="s">
        <v>92</v>
      </c>
      <c r="P10" s="7" t="s">
        <v>93</v>
      </c>
      <c r="Q10" s="7" t="s">
        <v>94</v>
      </c>
      <c r="R10" s="7" t="s">
        <v>116</v>
      </c>
      <c r="S10" s="7" t="s">
        <v>117</v>
      </c>
      <c r="T10" s="7" t="s">
        <v>166</v>
      </c>
      <c r="U10" s="7" t="s">
        <v>98</v>
      </c>
      <c r="V10" s="7" t="s">
        <v>99</v>
      </c>
    </row>
    <row r="11" ht="76" customHeight="1" spans="1:22" s="7" customFormat="1" x14ac:dyDescent="0.25">
      <c r="A11" s="7">
        <v>10</v>
      </c>
      <c r="B11" s="8" t="s">
        <v>167</v>
      </c>
      <c r="C11" s="7" t="s">
        <v>80</v>
      </c>
      <c r="D11" s="7" t="s">
        <v>151</v>
      </c>
      <c r="E11" s="7" t="s">
        <v>168</v>
      </c>
      <c r="F11" s="7" t="s">
        <v>169</v>
      </c>
      <c r="G11" s="7" t="s">
        <v>84</v>
      </c>
      <c r="H11" s="7" t="s">
        <v>170</v>
      </c>
      <c r="I11" s="9" t="s">
        <v>171</v>
      </c>
      <c r="J11" s="7" t="s">
        <v>172</v>
      </c>
      <c r="K11" s="7" t="s">
        <v>88</v>
      </c>
      <c r="L11" s="7" t="s">
        <v>157</v>
      </c>
      <c r="M11" s="10" t="s">
        <v>90</v>
      </c>
      <c r="N11" s="11" t="s">
        <v>158</v>
      </c>
      <c r="O11" s="7" t="s">
        <v>92</v>
      </c>
      <c r="P11" s="7" t="s">
        <v>93</v>
      </c>
      <c r="Q11" s="7" t="s">
        <v>94</v>
      </c>
      <c r="R11" s="7" t="s">
        <v>116</v>
      </c>
      <c r="S11" s="7" t="s">
        <v>117</v>
      </c>
      <c r="T11" s="7" t="s">
        <v>173</v>
      </c>
      <c r="U11" s="7" t="s">
        <v>98</v>
      </c>
      <c r="V11" s="7" t="s">
        <v>99</v>
      </c>
    </row>
    <row r="12" ht="76" customHeight="1" spans="1:22" s="7" customFormat="1" x14ac:dyDescent="0.25">
      <c r="A12" s="7">
        <v>11</v>
      </c>
      <c r="B12" s="8" t="s">
        <v>174</v>
      </c>
      <c r="C12" s="7" t="s">
        <v>80</v>
      </c>
      <c r="D12" s="7" t="s">
        <v>151</v>
      </c>
      <c r="E12" s="7" t="s">
        <v>175</v>
      </c>
      <c r="F12" s="7" t="s">
        <v>176</v>
      </c>
      <c r="G12" s="7" t="s">
        <v>84</v>
      </c>
      <c r="H12" s="7" t="s">
        <v>177</v>
      </c>
      <c r="I12" s="9" t="s">
        <v>178</v>
      </c>
      <c r="J12" s="7" t="s">
        <v>179</v>
      </c>
      <c r="K12" s="7" t="s">
        <v>88</v>
      </c>
      <c r="L12" s="7" t="s">
        <v>148</v>
      </c>
      <c r="M12" s="10" t="s">
        <v>90</v>
      </c>
      <c r="N12" s="7" t="s">
        <v>91</v>
      </c>
      <c r="O12" s="7" t="s">
        <v>92</v>
      </c>
      <c r="P12" s="7" t="s">
        <v>93</v>
      </c>
      <c r="Q12" s="7" t="s">
        <v>94</v>
      </c>
      <c r="R12" s="7" t="s">
        <v>116</v>
      </c>
      <c r="S12" s="7" t="s">
        <v>117</v>
      </c>
      <c r="T12" s="7" t="s">
        <v>180</v>
      </c>
      <c r="U12" s="7" t="s">
        <v>98</v>
      </c>
      <c r="V12" s="7" t="s">
        <v>99</v>
      </c>
    </row>
    <row r="13" ht="76" customHeight="1" spans="1:22" s="7" customFormat="1" x14ac:dyDescent="0.25">
      <c r="A13" s="7">
        <v>12</v>
      </c>
      <c r="B13" s="8" t="s">
        <v>181</v>
      </c>
      <c r="C13" s="7" t="s">
        <v>80</v>
      </c>
      <c r="D13" s="7" t="s">
        <v>151</v>
      </c>
      <c r="E13" s="7" t="s">
        <v>182</v>
      </c>
      <c r="F13" s="7" t="s">
        <v>183</v>
      </c>
      <c r="G13" s="7" t="s">
        <v>84</v>
      </c>
      <c r="H13" s="7" t="s">
        <v>184</v>
      </c>
      <c r="I13" s="9" t="s">
        <v>185</v>
      </c>
      <c r="J13" s="7" t="s">
        <v>186</v>
      </c>
      <c r="K13" s="7" t="s">
        <v>88</v>
      </c>
      <c r="L13" s="7" t="s">
        <v>148</v>
      </c>
      <c r="M13" s="10" t="s">
        <v>90</v>
      </c>
      <c r="N13" s="7" t="s">
        <v>91</v>
      </c>
      <c r="O13" s="7" t="s">
        <v>92</v>
      </c>
      <c r="P13" s="7" t="s">
        <v>93</v>
      </c>
      <c r="Q13" s="7" t="s">
        <v>94</v>
      </c>
      <c r="R13" s="7" t="s">
        <v>116</v>
      </c>
      <c r="S13" s="7" t="s">
        <v>117</v>
      </c>
      <c r="T13" s="7" t="s">
        <v>187</v>
      </c>
      <c r="U13" s="7" t="s">
        <v>98</v>
      </c>
      <c r="V13" s="7" t="s">
        <v>99</v>
      </c>
    </row>
    <row r="14" ht="76" customHeight="1" spans="1:22" s="7" customFormat="1" x14ac:dyDescent="0.25">
      <c r="A14" s="7">
        <v>13</v>
      </c>
      <c r="B14" s="8" t="s">
        <v>188</v>
      </c>
      <c r="C14" s="7" t="s">
        <v>80</v>
      </c>
      <c r="D14" s="7" t="s">
        <v>151</v>
      </c>
      <c r="E14" s="7" t="s">
        <v>189</v>
      </c>
      <c r="F14" s="7" t="s">
        <v>190</v>
      </c>
      <c r="G14" s="7" t="s">
        <v>84</v>
      </c>
      <c r="H14" s="7" t="s">
        <v>191</v>
      </c>
      <c r="I14" s="9" t="s">
        <v>192</v>
      </c>
      <c r="J14" s="7" t="s">
        <v>193</v>
      </c>
      <c r="K14" s="7" t="s">
        <v>88</v>
      </c>
      <c r="L14" s="7" t="s">
        <v>148</v>
      </c>
      <c r="M14" s="10" t="s">
        <v>90</v>
      </c>
      <c r="N14" s="7" t="s">
        <v>91</v>
      </c>
      <c r="O14" s="7" t="s">
        <v>92</v>
      </c>
      <c r="P14" s="7" t="s">
        <v>93</v>
      </c>
      <c r="Q14" s="7" t="s">
        <v>94</v>
      </c>
      <c r="R14" s="7" t="s">
        <v>116</v>
      </c>
      <c r="S14" s="7" t="s">
        <v>117</v>
      </c>
      <c r="T14" s="7" t="s">
        <v>194</v>
      </c>
      <c r="U14" s="7" t="s">
        <v>98</v>
      </c>
      <c r="V14" s="7" t="s">
        <v>99</v>
      </c>
    </row>
    <row r="15" ht="76" customHeight="1" spans="1:22" s="7" customFormat="1" x14ac:dyDescent="0.25">
      <c r="A15" s="7">
        <v>14</v>
      </c>
      <c r="B15" s="8" t="s">
        <v>195</v>
      </c>
      <c r="C15" s="7" t="s">
        <v>80</v>
      </c>
      <c r="D15" s="7" t="s">
        <v>196</v>
      </c>
      <c r="E15" s="7" t="s">
        <v>197</v>
      </c>
      <c r="F15" s="7" t="s">
        <v>198</v>
      </c>
      <c r="G15" s="7" t="s">
        <v>84</v>
      </c>
      <c r="H15" s="7" t="s">
        <v>199</v>
      </c>
      <c r="I15" s="9" t="s">
        <v>200</v>
      </c>
      <c r="J15" s="7" t="s">
        <v>201</v>
      </c>
      <c r="K15" s="7" t="s">
        <v>88</v>
      </c>
      <c r="L15" s="7" t="s">
        <v>89</v>
      </c>
      <c r="M15" s="10" t="s">
        <v>90</v>
      </c>
      <c r="N15" s="7" t="s">
        <v>91</v>
      </c>
      <c r="O15" s="7" t="s">
        <v>92</v>
      </c>
      <c r="P15" s="7" t="s">
        <v>93</v>
      </c>
      <c r="Q15" s="7" t="s">
        <v>94</v>
      </c>
      <c r="R15" s="7" t="s">
        <v>116</v>
      </c>
      <c r="S15" s="7" t="s">
        <v>117</v>
      </c>
      <c r="T15" s="7" t="s">
        <v>202</v>
      </c>
      <c r="U15" s="7" t="s">
        <v>98</v>
      </c>
      <c r="V15" s="7" t="s">
        <v>99</v>
      </c>
    </row>
    <row r="16" ht="76" customHeight="1" spans="1:22" s="7" customFormat="1" x14ac:dyDescent="0.25">
      <c r="A16" s="7">
        <v>15</v>
      </c>
      <c r="B16" s="8" t="s">
        <v>203</v>
      </c>
      <c r="C16" s="7" t="s">
        <v>80</v>
      </c>
      <c r="D16" s="7" t="s">
        <v>204</v>
      </c>
      <c r="E16" s="7" t="s">
        <v>205</v>
      </c>
      <c r="F16" s="7" t="s">
        <v>206</v>
      </c>
      <c r="G16" s="7" t="s">
        <v>84</v>
      </c>
      <c r="H16" s="7" t="s">
        <v>207</v>
      </c>
      <c r="I16" s="9" t="s">
        <v>208</v>
      </c>
      <c r="J16" s="7" t="s">
        <v>209</v>
      </c>
      <c r="K16" s="7" t="s">
        <v>88</v>
      </c>
      <c r="L16" s="7" t="s">
        <v>148</v>
      </c>
      <c r="M16" s="10" t="s">
        <v>90</v>
      </c>
      <c r="N16" s="7" t="s">
        <v>91</v>
      </c>
      <c r="O16" s="7" t="s">
        <v>92</v>
      </c>
      <c r="P16" s="7" t="s">
        <v>93</v>
      </c>
      <c r="Q16" s="7" t="s">
        <v>94</v>
      </c>
      <c r="R16" s="7" t="s">
        <v>210</v>
      </c>
      <c r="S16" s="7" t="s">
        <v>211</v>
      </c>
      <c r="T16" s="7" t="s">
        <v>212</v>
      </c>
      <c r="U16" s="7" t="s">
        <v>98</v>
      </c>
      <c r="V16" s="7" t="s">
        <v>99</v>
      </c>
    </row>
    <row r="17" ht="76" customHeight="1" spans="1:22" s="7" customFormat="1" x14ac:dyDescent="0.25">
      <c r="A17" s="7">
        <v>16</v>
      </c>
      <c r="B17" s="8" t="s">
        <v>213</v>
      </c>
      <c r="C17" s="7" t="s">
        <v>80</v>
      </c>
      <c r="D17" s="7" t="s">
        <v>214</v>
      </c>
      <c r="E17" s="7" t="s">
        <v>215</v>
      </c>
      <c r="F17" s="7" t="s">
        <v>216</v>
      </c>
      <c r="G17" s="7" t="s">
        <v>84</v>
      </c>
      <c r="H17" s="7" t="s">
        <v>217</v>
      </c>
      <c r="I17" s="9" t="s">
        <v>218</v>
      </c>
      <c r="J17" s="7" t="s">
        <v>219</v>
      </c>
      <c r="K17" s="7" t="s">
        <v>88</v>
      </c>
      <c r="L17" s="7" t="s">
        <v>148</v>
      </c>
      <c r="M17" s="10" t="s">
        <v>90</v>
      </c>
      <c r="N17" s="7" t="s">
        <v>91</v>
      </c>
      <c r="O17" s="7" t="s">
        <v>92</v>
      </c>
      <c r="P17" s="7" t="s">
        <v>93</v>
      </c>
      <c r="Q17" s="7" t="s">
        <v>94</v>
      </c>
      <c r="R17" s="7" t="s">
        <v>107</v>
      </c>
      <c r="S17" s="7" t="s">
        <v>108</v>
      </c>
      <c r="T17" s="7" t="s">
        <v>220</v>
      </c>
      <c r="U17" s="7" t="s">
        <v>98</v>
      </c>
      <c r="V17" s="7" t="s">
        <v>99</v>
      </c>
    </row>
    <row r="18" ht="76" customHeight="1" spans="1:22" s="7" customFormat="1" x14ac:dyDescent="0.25">
      <c r="A18" s="7">
        <v>17</v>
      </c>
      <c r="B18" s="8" t="s">
        <v>221</v>
      </c>
      <c r="C18" s="7" t="s">
        <v>80</v>
      </c>
      <c r="D18" s="7" t="s">
        <v>222</v>
      </c>
      <c r="E18" s="7" t="s">
        <v>223</v>
      </c>
      <c r="F18" s="7" t="s">
        <v>224</v>
      </c>
      <c r="G18" s="7" t="s">
        <v>84</v>
      </c>
      <c r="H18" s="7" t="s">
        <v>225</v>
      </c>
      <c r="I18" s="9" t="s">
        <v>86</v>
      </c>
      <c r="J18" s="7" t="s">
        <v>226</v>
      </c>
      <c r="K18" s="7" t="s">
        <v>88</v>
      </c>
      <c r="L18" s="7" t="s">
        <v>148</v>
      </c>
      <c r="M18" s="10" t="s">
        <v>90</v>
      </c>
      <c r="N18" s="7" t="s">
        <v>91</v>
      </c>
      <c r="O18" s="7" t="s">
        <v>92</v>
      </c>
      <c r="P18" s="7" t="s">
        <v>93</v>
      </c>
      <c r="Q18" s="7" t="s">
        <v>94</v>
      </c>
      <c r="R18" s="7" t="s">
        <v>116</v>
      </c>
      <c r="S18" s="7" t="s">
        <v>117</v>
      </c>
      <c r="T18" s="7" t="s">
        <v>227</v>
      </c>
      <c r="U18" s="7" t="s">
        <v>98</v>
      </c>
      <c r="V18" s="7" t="s">
        <v>99</v>
      </c>
    </row>
    <row r="19" ht="76" customHeight="1" spans="1:22" s="7" customFormat="1" x14ac:dyDescent="0.25">
      <c r="A19" s="7">
        <v>18</v>
      </c>
      <c r="B19" s="8" t="s">
        <v>228</v>
      </c>
      <c r="C19" s="7" t="s">
        <v>80</v>
      </c>
      <c r="D19" s="7" t="s">
        <v>229</v>
      </c>
      <c r="E19" s="7" t="s">
        <v>230</v>
      </c>
      <c r="F19" s="7" t="s">
        <v>231</v>
      </c>
      <c r="G19" s="7" t="s">
        <v>84</v>
      </c>
      <c r="H19" s="7" t="s">
        <v>232</v>
      </c>
      <c r="I19" s="9" t="s">
        <v>233</v>
      </c>
      <c r="J19" s="7" t="s">
        <v>234</v>
      </c>
      <c r="K19" s="7" t="s">
        <v>235</v>
      </c>
      <c r="L19" s="7" t="s">
        <v>235</v>
      </c>
      <c r="M19" s="10" t="s">
        <v>90</v>
      </c>
      <c r="N19" s="11" t="s">
        <v>158</v>
      </c>
      <c r="O19" s="7" t="s">
        <v>92</v>
      </c>
      <c r="P19" s="7" t="s">
        <v>93</v>
      </c>
      <c r="Q19" s="7" t="s">
        <v>94</v>
      </c>
      <c r="R19" s="7" t="s">
        <v>236</v>
      </c>
      <c r="S19" s="7" t="s">
        <v>237</v>
      </c>
      <c r="T19" s="7" t="s">
        <v>238</v>
      </c>
      <c r="U19" s="7" t="s">
        <v>98</v>
      </c>
      <c r="V19" s="7" t="s">
        <v>99</v>
      </c>
    </row>
    <row r="20" ht="76" customHeight="1" spans="1:22" s="7" customFormat="1" x14ac:dyDescent="0.25">
      <c r="A20" s="7">
        <v>19</v>
      </c>
      <c r="B20" s="8" t="s">
        <v>239</v>
      </c>
      <c r="C20" s="7" t="s">
        <v>80</v>
      </c>
      <c r="D20" s="7" t="s">
        <v>240</v>
      </c>
      <c r="E20" s="7" t="s">
        <v>241</v>
      </c>
      <c r="F20" s="7" t="s">
        <v>242</v>
      </c>
      <c r="G20" s="7" t="s">
        <v>243</v>
      </c>
      <c r="H20" s="7" t="s">
        <v>244</v>
      </c>
      <c r="I20" s="9" t="s">
        <v>245</v>
      </c>
      <c r="J20" s="7" t="s">
        <v>246</v>
      </c>
      <c r="K20" s="7" t="s">
        <v>247</v>
      </c>
      <c r="L20" s="7" t="s">
        <v>89</v>
      </c>
      <c r="M20" s="10" t="s">
        <v>90</v>
      </c>
      <c r="N20" s="11" t="s">
        <v>158</v>
      </c>
      <c r="O20" s="7" t="s">
        <v>92</v>
      </c>
      <c r="P20" s="12" t="s">
        <v>248</v>
      </c>
      <c r="Q20" s="7" t="s">
        <v>94</v>
      </c>
      <c r="R20" s="7" t="s">
        <v>249</v>
      </c>
      <c r="S20" s="7" t="s">
        <v>250</v>
      </c>
      <c r="T20" s="7" t="s">
        <v>251</v>
      </c>
      <c r="U20" s="7" t="s">
        <v>98</v>
      </c>
      <c r="V20" s="7" t="s">
        <v>99</v>
      </c>
    </row>
    <row r="21" ht="76" customHeight="1" spans="1:22" s="7" customFormat="1" x14ac:dyDescent="0.25">
      <c r="A21" s="7">
        <v>20</v>
      </c>
      <c r="B21" s="8" t="s">
        <v>252</v>
      </c>
      <c r="C21" s="7" t="s">
        <v>80</v>
      </c>
      <c r="D21" s="7" t="s">
        <v>253</v>
      </c>
      <c r="E21" s="7" t="s">
        <v>254</v>
      </c>
      <c r="F21" s="7" t="s">
        <v>255</v>
      </c>
      <c r="G21" s="7" t="s">
        <v>256</v>
      </c>
      <c r="H21" s="7" t="s">
        <v>257</v>
      </c>
      <c r="I21" s="9" t="s">
        <v>258</v>
      </c>
      <c r="J21" s="7" t="s">
        <v>259</v>
      </c>
      <c r="K21" s="7" t="s">
        <v>247</v>
      </c>
      <c r="L21" s="7" t="s">
        <v>89</v>
      </c>
      <c r="M21" s="10" t="s">
        <v>90</v>
      </c>
      <c r="N21" s="11" t="s">
        <v>158</v>
      </c>
      <c r="O21" s="7" t="s">
        <v>92</v>
      </c>
      <c r="P21" s="7" t="s">
        <v>93</v>
      </c>
      <c r="Q21" s="7" t="s">
        <v>94</v>
      </c>
      <c r="R21" s="7" t="s">
        <v>249</v>
      </c>
      <c r="S21" s="7" t="s">
        <v>250</v>
      </c>
      <c r="T21" s="7" t="s">
        <v>260</v>
      </c>
      <c r="U21" s="7" t="s">
        <v>98</v>
      </c>
      <c r="V21" s="7" t="s">
        <v>99</v>
      </c>
    </row>
    <row r="22" ht="76" customHeight="1" spans="1:22" s="7" customFormat="1" x14ac:dyDescent="0.25">
      <c r="A22" s="7">
        <v>21</v>
      </c>
      <c r="B22" s="8" t="s">
        <v>261</v>
      </c>
      <c r="C22" s="7" t="s">
        <v>80</v>
      </c>
      <c r="D22" s="7" t="s">
        <v>262</v>
      </c>
      <c r="E22" s="7" t="s">
        <v>263</v>
      </c>
      <c r="F22" s="7" t="s">
        <v>264</v>
      </c>
      <c r="G22" s="7" t="s">
        <v>256</v>
      </c>
      <c r="H22" s="7" t="s">
        <v>265</v>
      </c>
      <c r="I22" s="9" t="s">
        <v>266</v>
      </c>
      <c r="J22" s="7" t="s">
        <v>267</v>
      </c>
      <c r="K22" s="7" t="s">
        <v>247</v>
      </c>
      <c r="L22" s="7" t="s">
        <v>157</v>
      </c>
      <c r="M22" s="10" t="s">
        <v>90</v>
      </c>
      <c r="N22" s="11" t="s">
        <v>158</v>
      </c>
      <c r="O22" s="7" t="s">
        <v>92</v>
      </c>
      <c r="P22" s="7" t="s">
        <v>93</v>
      </c>
      <c r="Q22" s="7" t="s">
        <v>94</v>
      </c>
      <c r="R22" s="7" t="s">
        <v>268</v>
      </c>
      <c r="S22" s="7" t="s">
        <v>269</v>
      </c>
      <c r="T22" s="7" t="s">
        <v>270</v>
      </c>
      <c r="U22" s="7" t="s">
        <v>98</v>
      </c>
      <c r="V22" s="7" t="s">
        <v>99</v>
      </c>
    </row>
    <row r="23" ht="76" customHeight="1" spans="1:22" s="7" customFormat="1" x14ac:dyDescent="0.25">
      <c r="A23" s="7">
        <v>22</v>
      </c>
      <c r="B23" s="8" t="s">
        <v>271</v>
      </c>
      <c r="C23" s="7" t="s">
        <v>80</v>
      </c>
      <c r="D23" s="7" t="s">
        <v>272</v>
      </c>
      <c r="E23" s="7" t="s">
        <v>273</v>
      </c>
      <c r="F23" s="7" t="s">
        <v>274</v>
      </c>
      <c r="G23" s="7" t="s">
        <v>256</v>
      </c>
      <c r="H23" s="7" t="s">
        <v>275</v>
      </c>
      <c r="I23" s="9" t="s">
        <v>276</v>
      </c>
      <c r="J23" s="7" t="s">
        <v>277</v>
      </c>
      <c r="K23" s="7" t="s">
        <v>247</v>
      </c>
      <c r="L23" s="7" t="s">
        <v>89</v>
      </c>
      <c r="M23" s="10" t="s">
        <v>90</v>
      </c>
      <c r="N23" s="11" t="s">
        <v>158</v>
      </c>
      <c r="O23" s="7" t="s">
        <v>92</v>
      </c>
      <c r="P23" s="12" t="s">
        <v>248</v>
      </c>
      <c r="Q23" s="7" t="s">
        <v>94</v>
      </c>
      <c r="R23" s="7" t="s">
        <v>249</v>
      </c>
      <c r="S23" s="7" t="s">
        <v>250</v>
      </c>
      <c r="T23" s="7" t="s">
        <v>278</v>
      </c>
      <c r="U23" s="7" t="s">
        <v>98</v>
      </c>
      <c r="V23" s="7" t="s">
        <v>99</v>
      </c>
    </row>
    <row r="24" ht="76" customHeight="1" spans="1:22" s="7" customFormat="1" x14ac:dyDescent="0.25">
      <c r="A24" s="7">
        <v>23</v>
      </c>
      <c r="B24" s="8" t="s">
        <v>279</v>
      </c>
      <c r="C24" s="7" t="s">
        <v>80</v>
      </c>
      <c r="D24" s="7" t="s">
        <v>280</v>
      </c>
      <c r="E24" s="7" t="s">
        <v>281</v>
      </c>
      <c r="F24" s="7" t="s">
        <v>282</v>
      </c>
      <c r="G24" s="7" t="s">
        <v>283</v>
      </c>
      <c r="H24" s="7" t="s">
        <v>284</v>
      </c>
      <c r="I24" s="9" t="s">
        <v>258</v>
      </c>
      <c r="J24" s="7" t="s">
        <v>285</v>
      </c>
      <c r="K24" s="7" t="s">
        <v>247</v>
      </c>
      <c r="L24" s="7" t="s">
        <v>89</v>
      </c>
      <c r="M24" s="10" t="s">
        <v>90</v>
      </c>
      <c r="N24" s="11" t="s">
        <v>158</v>
      </c>
      <c r="O24" s="7" t="s">
        <v>92</v>
      </c>
      <c r="P24" s="7" t="s">
        <v>93</v>
      </c>
      <c r="Q24" s="7" t="s">
        <v>94</v>
      </c>
      <c r="R24" s="7" t="s">
        <v>249</v>
      </c>
      <c r="S24" s="7" t="s">
        <v>250</v>
      </c>
      <c r="T24" s="7" t="s">
        <v>286</v>
      </c>
      <c r="U24" s="7" t="s">
        <v>98</v>
      </c>
      <c r="V24" s="7" t="s">
        <v>99</v>
      </c>
    </row>
    <row r="25" ht="76" customHeight="1" spans="1:22" s="7" customFormat="1" x14ac:dyDescent="0.25">
      <c r="A25" s="7">
        <v>24</v>
      </c>
      <c r="B25" s="8" t="s">
        <v>287</v>
      </c>
      <c r="C25" s="7" t="s">
        <v>80</v>
      </c>
      <c r="D25" s="7" t="s">
        <v>288</v>
      </c>
      <c r="E25" s="7" t="s">
        <v>289</v>
      </c>
      <c r="F25" s="7" t="s">
        <v>290</v>
      </c>
      <c r="G25" s="7" t="s">
        <v>283</v>
      </c>
      <c r="H25" s="7" t="s">
        <v>291</v>
      </c>
      <c r="I25" s="9" t="s">
        <v>292</v>
      </c>
      <c r="J25" s="7" t="s">
        <v>293</v>
      </c>
      <c r="K25" s="7" t="s">
        <v>247</v>
      </c>
      <c r="L25" s="7" t="s">
        <v>89</v>
      </c>
      <c r="M25" s="10" t="s">
        <v>90</v>
      </c>
      <c r="N25" s="7" t="s">
        <v>91</v>
      </c>
      <c r="O25" s="7" t="s">
        <v>92</v>
      </c>
      <c r="P25" s="7" t="s">
        <v>93</v>
      </c>
      <c r="Q25" s="7" t="s">
        <v>94</v>
      </c>
      <c r="R25" s="7" t="s">
        <v>268</v>
      </c>
      <c r="S25" s="7" t="s">
        <v>269</v>
      </c>
      <c r="T25" s="7" t="s">
        <v>294</v>
      </c>
      <c r="U25" s="7" t="s">
        <v>98</v>
      </c>
      <c r="V25" s="7" t="s">
        <v>99</v>
      </c>
    </row>
    <row r="26" ht="76" customHeight="1" spans="1:22" s="7" customFormat="1" x14ac:dyDescent="0.25">
      <c r="A26" s="7">
        <v>25</v>
      </c>
      <c r="B26" s="8" t="s">
        <v>295</v>
      </c>
      <c r="C26" s="7" t="s">
        <v>80</v>
      </c>
      <c r="D26" s="7" t="s">
        <v>296</v>
      </c>
      <c r="E26" s="7" t="s">
        <v>297</v>
      </c>
      <c r="F26" s="7" t="s">
        <v>298</v>
      </c>
      <c r="G26" s="7" t="s">
        <v>84</v>
      </c>
      <c r="H26" s="7" t="s">
        <v>299</v>
      </c>
      <c r="I26" s="9" t="s">
        <v>300</v>
      </c>
      <c r="J26" s="7" t="s">
        <v>301</v>
      </c>
      <c r="K26" s="7" t="s">
        <v>235</v>
      </c>
      <c r="L26" s="7" t="s">
        <v>235</v>
      </c>
      <c r="M26" s="10" t="s">
        <v>90</v>
      </c>
      <c r="N26" s="11" t="s">
        <v>158</v>
      </c>
      <c r="O26" s="7" t="s">
        <v>92</v>
      </c>
      <c r="P26" s="7" t="s">
        <v>93</v>
      </c>
      <c r="Q26" s="7" t="s">
        <v>94</v>
      </c>
      <c r="R26" s="7" t="s">
        <v>236</v>
      </c>
      <c r="S26" s="7" t="s">
        <v>237</v>
      </c>
      <c r="T26" s="7" t="s">
        <v>302</v>
      </c>
      <c r="U26" s="7" t="s">
        <v>98</v>
      </c>
      <c r="V26" s="7" t="s">
        <v>99</v>
      </c>
    </row>
    <row r="27" ht="76" customHeight="1" spans="1:22" s="7" customFormat="1" x14ac:dyDescent="0.25">
      <c r="A27" s="7">
        <v>26</v>
      </c>
      <c r="B27" s="8" t="s">
        <v>303</v>
      </c>
      <c r="C27" s="7" t="s">
        <v>80</v>
      </c>
      <c r="D27" s="7" t="s">
        <v>304</v>
      </c>
      <c r="E27" s="7" t="s">
        <v>305</v>
      </c>
      <c r="F27" s="7" t="s">
        <v>306</v>
      </c>
      <c r="G27" s="7" t="s">
        <v>84</v>
      </c>
      <c r="H27" s="7" t="s">
        <v>307</v>
      </c>
      <c r="I27" s="9" t="s">
        <v>308</v>
      </c>
      <c r="J27" s="7" t="s">
        <v>309</v>
      </c>
      <c r="K27" s="7" t="s">
        <v>235</v>
      </c>
      <c r="L27" s="7" t="s">
        <v>235</v>
      </c>
      <c r="M27" s="10" t="s">
        <v>90</v>
      </c>
      <c r="N27" s="11" t="s">
        <v>158</v>
      </c>
      <c r="O27" s="7" t="s">
        <v>92</v>
      </c>
      <c r="P27" s="7" t="s">
        <v>93</v>
      </c>
      <c r="Q27" s="7" t="s">
        <v>94</v>
      </c>
      <c r="R27" s="7" t="s">
        <v>236</v>
      </c>
      <c r="S27" s="7" t="s">
        <v>237</v>
      </c>
      <c r="T27" s="7" t="s">
        <v>310</v>
      </c>
      <c r="U27" s="7" t="s">
        <v>98</v>
      </c>
      <c r="V27" s="7" t="s">
        <v>99</v>
      </c>
    </row>
    <row r="28" ht="76" customHeight="1" spans="1:22" s="7" customFormat="1" x14ac:dyDescent="0.25">
      <c r="A28" s="7">
        <v>27</v>
      </c>
      <c r="B28" s="8" t="s">
        <v>311</v>
      </c>
      <c r="C28" s="7" t="s">
        <v>80</v>
      </c>
      <c r="D28" s="7" t="s">
        <v>312</v>
      </c>
      <c r="E28" s="7" t="s">
        <v>313</v>
      </c>
      <c r="F28" s="7" t="s">
        <v>314</v>
      </c>
      <c r="G28" s="7" t="s">
        <v>84</v>
      </c>
      <c r="H28" s="7" t="s">
        <v>315</v>
      </c>
      <c r="I28" s="9" t="s">
        <v>316</v>
      </c>
      <c r="J28" s="7" t="s">
        <v>317</v>
      </c>
      <c r="K28" s="7" t="s">
        <v>235</v>
      </c>
      <c r="L28" s="7" t="s">
        <v>235</v>
      </c>
      <c r="M28" s="10" t="s">
        <v>90</v>
      </c>
      <c r="N28" s="11" t="s">
        <v>158</v>
      </c>
      <c r="O28" s="7" t="s">
        <v>92</v>
      </c>
      <c r="P28" s="7" t="s">
        <v>93</v>
      </c>
      <c r="Q28" s="7" t="s">
        <v>94</v>
      </c>
      <c r="R28" s="7" t="s">
        <v>236</v>
      </c>
      <c r="S28" s="7" t="s">
        <v>237</v>
      </c>
      <c r="T28" s="7" t="s">
        <v>318</v>
      </c>
      <c r="U28" s="7" t="s">
        <v>98</v>
      </c>
      <c r="V28" s="7" t="s">
        <v>99</v>
      </c>
    </row>
    <row r="29" ht="76" customHeight="1" spans="1:22" s="7" customFormat="1" x14ac:dyDescent="0.25">
      <c r="A29" s="7">
        <v>28</v>
      </c>
      <c r="B29" s="8" t="s">
        <v>319</v>
      </c>
      <c r="C29" s="7" t="s">
        <v>80</v>
      </c>
      <c r="D29" s="7" t="s">
        <v>320</v>
      </c>
      <c r="E29" s="7" t="s">
        <v>321</v>
      </c>
      <c r="F29" s="7" t="s">
        <v>322</v>
      </c>
      <c r="G29" s="7" t="s">
        <v>323</v>
      </c>
      <c r="H29" s="7" t="s">
        <v>324</v>
      </c>
      <c r="I29" s="9" t="s">
        <v>325</v>
      </c>
      <c r="J29" s="7" t="s">
        <v>326</v>
      </c>
      <c r="K29" s="7" t="s">
        <v>235</v>
      </c>
      <c r="L29" s="7" t="s">
        <v>235</v>
      </c>
      <c r="M29" s="10" t="s">
        <v>90</v>
      </c>
      <c r="N29" s="7" t="s">
        <v>91</v>
      </c>
      <c r="O29" s="7" t="s">
        <v>92</v>
      </c>
      <c r="P29" s="7" t="s">
        <v>93</v>
      </c>
      <c r="Q29" s="7" t="s">
        <v>94</v>
      </c>
      <c r="R29" s="7" t="s">
        <v>236</v>
      </c>
      <c r="S29" s="7" t="s">
        <v>237</v>
      </c>
      <c r="T29" s="7" t="s">
        <v>327</v>
      </c>
      <c r="U29" s="7" t="s">
        <v>98</v>
      </c>
      <c r="V29" s="7" t="s">
        <v>99</v>
      </c>
    </row>
    <row r="30" ht="76" customHeight="1" spans="1:22" s="7" customFormat="1" x14ac:dyDescent="0.25">
      <c r="A30" s="7">
        <v>29</v>
      </c>
      <c r="B30" s="8" t="s">
        <v>328</v>
      </c>
      <c r="C30" s="7" t="s">
        <v>80</v>
      </c>
      <c r="D30" s="7" t="s">
        <v>329</v>
      </c>
      <c r="E30" s="7" t="s">
        <v>330</v>
      </c>
      <c r="F30" s="7" t="s">
        <v>331</v>
      </c>
      <c r="G30" s="7" t="s">
        <v>332</v>
      </c>
      <c r="H30" s="7" t="s">
        <v>333</v>
      </c>
      <c r="I30" s="9" t="s">
        <v>334</v>
      </c>
      <c r="J30" s="7" t="s">
        <v>335</v>
      </c>
      <c r="K30" s="7" t="s">
        <v>235</v>
      </c>
      <c r="L30" s="7" t="s">
        <v>235</v>
      </c>
      <c r="M30" s="10" t="s">
        <v>90</v>
      </c>
      <c r="N30" s="11" t="s">
        <v>158</v>
      </c>
      <c r="O30" s="7" t="s">
        <v>92</v>
      </c>
      <c r="P30" s="7" t="s">
        <v>93</v>
      </c>
      <c r="Q30" s="7" t="s">
        <v>94</v>
      </c>
      <c r="R30" s="7" t="s">
        <v>236</v>
      </c>
      <c r="S30" s="7" t="s">
        <v>237</v>
      </c>
      <c r="T30" s="7" t="s">
        <v>336</v>
      </c>
      <c r="U30" s="7" t="s">
        <v>98</v>
      </c>
      <c r="V30" s="7" t="s">
        <v>99</v>
      </c>
    </row>
    <row r="31" ht="76" customHeight="1" spans="1:22" s="7" customFormat="1" x14ac:dyDescent="0.25">
      <c r="A31" s="7">
        <v>30</v>
      </c>
      <c r="B31" s="8" t="s">
        <v>337</v>
      </c>
      <c r="C31" s="7" t="s">
        <v>80</v>
      </c>
      <c r="D31" s="7" t="s">
        <v>338</v>
      </c>
      <c r="E31" s="7" t="s">
        <v>339</v>
      </c>
      <c r="F31" s="7" t="s">
        <v>340</v>
      </c>
      <c r="G31" s="7" t="s">
        <v>341</v>
      </c>
      <c r="H31" s="7" t="s">
        <v>342</v>
      </c>
      <c r="I31" s="9" t="s">
        <v>343</v>
      </c>
      <c r="J31" s="7" t="s">
        <v>344</v>
      </c>
      <c r="K31" s="7" t="s">
        <v>247</v>
      </c>
      <c r="L31" s="7" t="s">
        <v>148</v>
      </c>
      <c r="M31" s="10" t="s">
        <v>90</v>
      </c>
      <c r="N31" s="11" t="s">
        <v>158</v>
      </c>
      <c r="O31" s="7" t="s">
        <v>92</v>
      </c>
      <c r="P31" s="12" t="s">
        <v>248</v>
      </c>
      <c r="Q31" s="7" t="s">
        <v>94</v>
      </c>
      <c r="R31" s="7" t="s">
        <v>268</v>
      </c>
      <c r="S31" s="7" t="s">
        <v>269</v>
      </c>
      <c r="T31" s="7" t="s">
        <v>345</v>
      </c>
      <c r="U31" s="7" t="s">
        <v>98</v>
      </c>
      <c r="V31" s="7" t="s">
        <v>99</v>
      </c>
    </row>
  </sheetData>
  <pageMargins left="0.25" right="0.25" top="0.5" bottom="0.5" header="0.2" footer="0.2"/>
  <pageSetup paperSize="9" orientation="landscape" fitToWidth="1" fitToHeight="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5911"/>
    <pageSetUpPr fitToPage="1"/>
  </sheetPr>
  <dimension ref="A1:W35"/>
  <sheetViews>
    <sheetView workbookViewId="0" showGridLines="0" zoomScale="75">
      <pane xSplit="3" ySplit="1" topLeftCell="D2" activePane="bottomRight" state="frozen"/>
      <selection pane="bottomRight"/>
    </sheetView>
  </sheetViews>
  <sheetFormatPr defaultRowHeight="15" outlineLevelRow="0" outlineLevelCol="0" x14ac:dyDescent="55"/>
  <cols>
    <col min="1" max="1" width="10" customWidth="1"/>
    <col min="2" max="2" width="17" customWidth="1"/>
    <col min="3" max="3" width="15" customWidth="1"/>
    <col min="4" max="4" width="30" customWidth="1"/>
    <col min="5" max="5" width="46" customWidth="1"/>
    <col min="6" max="6" width="54" customWidth="1"/>
    <col min="7" max="7" width="52" customWidth="1"/>
    <col min="8" max="8" width="66" customWidth="1"/>
    <col min="9" max="9" width="46" customWidth="1"/>
    <col min="10" max="10" width="62" customWidth="1"/>
    <col min="11" max="11" width="20" customWidth="1"/>
    <col min="12" max="12" width="28" customWidth="1"/>
    <col min="13" max="13" width="10" customWidth="1"/>
    <col min="14" max="14" width="12" customWidth="1"/>
    <col min="15" max="15" width="25" customWidth="1"/>
    <col min="16" max="16" width="42" customWidth="1"/>
    <col min="17" max="17" width="54" customWidth="1"/>
    <col min="18" max="18" width="16" customWidth="1"/>
    <col min="19" max="19" width="48" customWidth="1"/>
    <col min="20" max="20" width="20" customWidth="1"/>
    <col min="21" max="21" width="18" customWidth="1"/>
    <col min="22" max="22" width="17" customWidth="1"/>
    <col min="23" max="23" width="40" customWidth="1"/>
  </cols>
  <sheetData>
    <row r="1" ht="30" customHeight="1" spans="1:23" s="13" customFormat="1" x14ac:dyDescent="0.25">
      <c r="A1" s="13" t="s">
        <v>59</v>
      </c>
      <c r="B1" s="13" t="s">
        <v>60</v>
      </c>
      <c r="C1" s="13" t="s">
        <v>61</v>
      </c>
      <c r="D1" s="13" t="s">
        <v>62</v>
      </c>
      <c r="E1" s="13" t="s">
        <v>63</v>
      </c>
      <c r="F1" s="13" t="s">
        <v>64</v>
      </c>
      <c r="G1" s="13" t="s">
        <v>65</v>
      </c>
      <c r="H1" s="13" t="s">
        <v>66</v>
      </c>
      <c r="I1" s="13" t="s">
        <v>346</v>
      </c>
      <c r="J1" s="13" t="s">
        <v>68</v>
      </c>
      <c r="K1" s="13" t="s">
        <v>347</v>
      </c>
      <c r="L1" s="13" t="s">
        <v>348</v>
      </c>
      <c r="M1" s="13" t="s">
        <v>71</v>
      </c>
      <c r="N1" s="13" t="s">
        <v>72</v>
      </c>
      <c r="O1" s="13" t="s">
        <v>349</v>
      </c>
      <c r="P1" s="13" t="s">
        <v>27</v>
      </c>
      <c r="Q1" s="13" t="s">
        <v>30</v>
      </c>
      <c r="R1" s="13" t="s">
        <v>350</v>
      </c>
      <c r="S1" s="13" t="s">
        <v>351</v>
      </c>
      <c r="T1" s="13" t="s">
        <v>352</v>
      </c>
      <c r="U1" s="13" t="s">
        <v>353</v>
      </c>
      <c r="V1" s="13" t="s">
        <v>354</v>
      </c>
      <c r="W1" s="13" t="s">
        <v>355</v>
      </c>
    </row>
    <row r="2" ht="76" customHeight="1" spans="1:23" s="7" customFormat="1" x14ac:dyDescent="0.25">
      <c r="A2" s="7">
        <v>1</v>
      </c>
      <c r="B2" s="8" t="s">
        <v>356</v>
      </c>
      <c r="C2" s="7" t="s">
        <v>80</v>
      </c>
      <c r="D2" s="7" t="s">
        <v>357</v>
      </c>
      <c r="E2" s="7" t="s">
        <v>358</v>
      </c>
      <c r="F2" s="7" t="s">
        <v>359</v>
      </c>
      <c r="G2" s="7" t="s">
        <v>360</v>
      </c>
      <c r="H2" s="7" t="s">
        <v>361</v>
      </c>
      <c r="I2" s="7" t="s">
        <v>362</v>
      </c>
      <c r="J2" s="7" t="s">
        <v>363</v>
      </c>
      <c r="K2" s="7" t="s">
        <v>364</v>
      </c>
      <c r="L2" s="7" t="s">
        <v>365</v>
      </c>
      <c r="M2" s="10" t="s">
        <v>90</v>
      </c>
      <c r="N2" s="7" t="s">
        <v>366</v>
      </c>
      <c r="O2" s="7" t="s">
        <v>367</v>
      </c>
      <c r="P2" s="7" t="s">
        <v>368</v>
      </c>
      <c r="Q2" s="7" t="s">
        <v>369</v>
      </c>
      <c r="R2" s="14" t="s">
        <v>370</v>
      </c>
      <c r="S2" s="14" t="s">
        <v>99</v>
      </c>
      <c r="T2" s="14" t="s">
        <v>99</v>
      </c>
      <c r="U2" s="14" t="s">
        <v>99</v>
      </c>
      <c r="V2" s="14" t="s">
        <v>99</v>
      </c>
      <c r="W2" s="14" t="s">
        <v>99</v>
      </c>
    </row>
    <row r="3" ht="76" customHeight="1" spans="1:23" s="7" customFormat="1" x14ac:dyDescent="0.25">
      <c r="A3" s="7">
        <v>2</v>
      </c>
      <c r="B3" s="8" t="s">
        <v>371</v>
      </c>
      <c r="C3" s="7" t="s">
        <v>80</v>
      </c>
      <c r="D3" s="7" t="s">
        <v>372</v>
      </c>
      <c r="E3" s="7" t="s">
        <v>373</v>
      </c>
      <c r="F3" s="7" t="s">
        <v>374</v>
      </c>
      <c r="G3" s="7" t="s">
        <v>375</v>
      </c>
      <c r="H3" s="7" t="s">
        <v>376</v>
      </c>
      <c r="I3" s="7" t="s">
        <v>377</v>
      </c>
      <c r="J3" s="7" t="s">
        <v>378</v>
      </c>
      <c r="K3" s="7" t="s">
        <v>364</v>
      </c>
      <c r="L3" s="7" t="s">
        <v>379</v>
      </c>
      <c r="M3" s="15" t="s">
        <v>380</v>
      </c>
      <c r="N3" s="7" t="s">
        <v>366</v>
      </c>
      <c r="O3" s="7" t="s">
        <v>367</v>
      </c>
      <c r="P3" s="7" t="s">
        <v>381</v>
      </c>
      <c r="Q3" s="7" t="s">
        <v>382</v>
      </c>
      <c r="R3" s="14" t="s">
        <v>370</v>
      </c>
      <c r="S3" s="14" t="s">
        <v>99</v>
      </c>
      <c r="T3" s="14" t="s">
        <v>99</v>
      </c>
      <c r="U3" s="14" t="s">
        <v>99</v>
      </c>
      <c r="V3" s="14" t="s">
        <v>99</v>
      </c>
      <c r="W3" s="14" t="s">
        <v>99</v>
      </c>
    </row>
    <row r="4" ht="76" customHeight="1" spans="1:23" s="7" customFormat="1" x14ac:dyDescent="0.25">
      <c r="A4" s="7">
        <v>3</v>
      </c>
      <c r="B4" s="8" t="s">
        <v>383</v>
      </c>
      <c r="C4" s="7" t="s">
        <v>80</v>
      </c>
      <c r="D4" s="7" t="s">
        <v>372</v>
      </c>
      <c r="E4" s="7" t="s">
        <v>384</v>
      </c>
      <c r="F4" s="7" t="s">
        <v>385</v>
      </c>
      <c r="G4" s="7" t="s">
        <v>386</v>
      </c>
      <c r="H4" s="7" t="s">
        <v>387</v>
      </c>
      <c r="I4" s="7" t="s">
        <v>388</v>
      </c>
      <c r="J4" s="7" t="s">
        <v>389</v>
      </c>
      <c r="K4" s="7" t="s">
        <v>390</v>
      </c>
      <c r="L4" s="7" t="s">
        <v>391</v>
      </c>
      <c r="M4" s="15" t="s">
        <v>380</v>
      </c>
      <c r="N4" s="7" t="s">
        <v>366</v>
      </c>
      <c r="O4" s="7" t="s">
        <v>392</v>
      </c>
      <c r="P4" s="7" t="s">
        <v>393</v>
      </c>
      <c r="Q4" s="7" t="s">
        <v>394</v>
      </c>
      <c r="R4" s="14" t="s">
        <v>370</v>
      </c>
      <c r="S4" s="14" t="s">
        <v>99</v>
      </c>
      <c r="T4" s="14" t="s">
        <v>99</v>
      </c>
      <c r="U4" s="14" t="s">
        <v>99</v>
      </c>
      <c r="V4" s="14" t="s">
        <v>99</v>
      </c>
      <c r="W4" s="14" t="s">
        <v>99</v>
      </c>
    </row>
    <row r="5" ht="76" customHeight="1" spans="1:23" s="7" customFormat="1" x14ac:dyDescent="0.25">
      <c r="A5" s="7">
        <v>4</v>
      </c>
      <c r="B5" s="8" t="s">
        <v>395</v>
      </c>
      <c r="C5" s="7" t="s">
        <v>80</v>
      </c>
      <c r="D5" s="7" t="s">
        <v>396</v>
      </c>
      <c r="E5" s="7" t="s">
        <v>397</v>
      </c>
      <c r="F5" s="7" t="s">
        <v>398</v>
      </c>
      <c r="G5" s="7" t="s">
        <v>399</v>
      </c>
      <c r="H5" s="7" t="s">
        <v>400</v>
      </c>
      <c r="I5" s="7" t="s">
        <v>401</v>
      </c>
      <c r="J5" s="7" t="s">
        <v>402</v>
      </c>
      <c r="K5" s="7" t="s">
        <v>403</v>
      </c>
      <c r="L5" s="7" t="s">
        <v>404</v>
      </c>
      <c r="M5" s="10" t="s">
        <v>90</v>
      </c>
      <c r="N5" s="7" t="s">
        <v>366</v>
      </c>
      <c r="O5" s="7" t="s">
        <v>367</v>
      </c>
      <c r="P5" s="7" t="s">
        <v>381</v>
      </c>
      <c r="Q5" s="7" t="s">
        <v>405</v>
      </c>
      <c r="R5" s="14" t="s">
        <v>370</v>
      </c>
      <c r="S5" s="14" t="s">
        <v>99</v>
      </c>
      <c r="T5" s="14" t="s">
        <v>99</v>
      </c>
      <c r="U5" s="14" t="s">
        <v>99</v>
      </c>
      <c r="V5" s="14" t="s">
        <v>99</v>
      </c>
      <c r="W5" s="14" t="s">
        <v>99</v>
      </c>
    </row>
    <row r="6" ht="76" customHeight="1" spans="1:23" s="7" customFormat="1" x14ac:dyDescent="0.25">
      <c r="A6" s="7">
        <v>5</v>
      </c>
      <c r="B6" s="8" t="s">
        <v>406</v>
      </c>
      <c r="C6" s="7" t="s">
        <v>80</v>
      </c>
      <c r="D6" s="7" t="s">
        <v>407</v>
      </c>
      <c r="E6" s="7" t="s">
        <v>408</v>
      </c>
      <c r="F6" s="7" t="s">
        <v>409</v>
      </c>
      <c r="G6" s="7" t="s">
        <v>410</v>
      </c>
      <c r="H6" s="7" t="s">
        <v>411</v>
      </c>
      <c r="I6" s="7" t="s">
        <v>412</v>
      </c>
      <c r="J6" s="7" t="s">
        <v>413</v>
      </c>
      <c r="K6" s="7" t="s">
        <v>403</v>
      </c>
      <c r="L6" s="7" t="s">
        <v>414</v>
      </c>
      <c r="M6" s="15" t="s">
        <v>380</v>
      </c>
      <c r="N6" s="7" t="s">
        <v>366</v>
      </c>
      <c r="O6" s="7" t="s">
        <v>367</v>
      </c>
      <c r="P6" s="7" t="s">
        <v>393</v>
      </c>
      <c r="Q6" s="7" t="s">
        <v>415</v>
      </c>
      <c r="R6" s="14" t="s">
        <v>370</v>
      </c>
      <c r="S6" s="14" t="s">
        <v>99</v>
      </c>
      <c r="T6" s="14" t="s">
        <v>99</v>
      </c>
      <c r="U6" s="14" t="s">
        <v>99</v>
      </c>
      <c r="V6" s="14" t="s">
        <v>99</v>
      </c>
      <c r="W6" s="14" t="s">
        <v>99</v>
      </c>
    </row>
    <row r="7" ht="76" customHeight="1" spans="1:23" s="7" customFormat="1" x14ac:dyDescent="0.25">
      <c r="A7" s="7">
        <v>6</v>
      </c>
      <c r="B7" s="8" t="s">
        <v>416</v>
      </c>
      <c r="C7" s="7" t="s">
        <v>80</v>
      </c>
      <c r="D7" s="7" t="s">
        <v>417</v>
      </c>
      <c r="E7" s="7" t="s">
        <v>418</v>
      </c>
      <c r="F7" s="7" t="s">
        <v>419</v>
      </c>
      <c r="G7" s="7" t="s">
        <v>420</v>
      </c>
      <c r="H7" s="7" t="s">
        <v>421</v>
      </c>
      <c r="I7" s="7" t="s">
        <v>422</v>
      </c>
      <c r="J7" s="7" t="s">
        <v>423</v>
      </c>
      <c r="K7" s="7" t="s">
        <v>403</v>
      </c>
      <c r="L7" s="7" t="s">
        <v>424</v>
      </c>
      <c r="M7" s="10" t="s">
        <v>90</v>
      </c>
      <c r="N7" s="7" t="s">
        <v>366</v>
      </c>
      <c r="O7" s="7" t="s">
        <v>367</v>
      </c>
      <c r="P7" s="7" t="s">
        <v>381</v>
      </c>
      <c r="Q7" s="7" t="s">
        <v>405</v>
      </c>
      <c r="R7" s="14" t="s">
        <v>370</v>
      </c>
      <c r="S7" s="14" t="s">
        <v>99</v>
      </c>
      <c r="T7" s="14" t="s">
        <v>99</v>
      </c>
      <c r="U7" s="14" t="s">
        <v>99</v>
      </c>
      <c r="V7" s="14" t="s">
        <v>99</v>
      </c>
      <c r="W7" s="14" t="s">
        <v>99</v>
      </c>
    </row>
    <row r="8" ht="76" customHeight="1" spans="1:23" s="7" customFormat="1" x14ac:dyDescent="0.25">
      <c r="A8" s="7">
        <v>7</v>
      </c>
      <c r="B8" s="8" t="s">
        <v>425</v>
      </c>
      <c r="C8" s="7" t="s">
        <v>80</v>
      </c>
      <c r="D8" s="7" t="s">
        <v>426</v>
      </c>
      <c r="E8" s="7" t="s">
        <v>427</v>
      </c>
      <c r="F8" s="7" t="s">
        <v>428</v>
      </c>
      <c r="G8" s="7" t="s">
        <v>429</v>
      </c>
      <c r="H8" s="7" t="s">
        <v>430</v>
      </c>
      <c r="I8" s="7" t="s">
        <v>431</v>
      </c>
      <c r="J8" s="7" t="s">
        <v>432</v>
      </c>
      <c r="K8" s="7" t="s">
        <v>433</v>
      </c>
      <c r="L8" s="7" t="s">
        <v>434</v>
      </c>
      <c r="M8" s="10" t="s">
        <v>90</v>
      </c>
      <c r="N8" s="7" t="s">
        <v>91</v>
      </c>
      <c r="O8" s="7" t="s">
        <v>367</v>
      </c>
      <c r="P8" s="7" t="s">
        <v>381</v>
      </c>
      <c r="Q8" s="7" t="s">
        <v>435</v>
      </c>
      <c r="R8" s="14" t="s">
        <v>370</v>
      </c>
      <c r="S8" s="14" t="s">
        <v>99</v>
      </c>
      <c r="T8" s="14" t="s">
        <v>99</v>
      </c>
      <c r="U8" s="14" t="s">
        <v>99</v>
      </c>
      <c r="V8" s="14" t="s">
        <v>99</v>
      </c>
      <c r="W8" s="14" t="s">
        <v>99</v>
      </c>
    </row>
    <row r="9" ht="76" customHeight="1" spans="1:23" s="7" customFormat="1" x14ac:dyDescent="0.25">
      <c r="A9" s="7">
        <v>8</v>
      </c>
      <c r="B9" s="8" t="s">
        <v>436</v>
      </c>
      <c r="C9" s="7" t="s">
        <v>80</v>
      </c>
      <c r="D9" s="7" t="s">
        <v>437</v>
      </c>
      <c r="E9" s="7" t="s">
        <v>438</v>
      </c>
      <c r="F9" s="7" t="s">
        <v>439</v>
      </c>
      <c r="G9" s="7" t="s">
        <v>440</v>
      </c>
      <c r="H9" s="7" t="s">
        <v>441</v>
      </c>
      <c r="I9" s="7" t="s">
        <v>442</v>
      </c>
      <c r="J9" s="7" t="s">
        <v>443</v>
      </c>
      <c r="K9" s="7" t="s">
        <v>444</v>
      </c>
      <c r="L9" s="7" t="s">
        <v>445</v>
      </c>
      <c r="M9" s="10" t="s">
        <v>90</v>
      </c>
      <c r="N9" s="7" t="s">
        <v>91</v>
      </c>
      <c r="O9" s="7" t="s">
        <v>392</v>
      </c>
      <c r="P9" s="7" t="s">
        <v>381</v>
      </c>
      <c r="Q9" s="7" t="s">
        <v>446</v>
      </c>
      <c r="R9" s="14" t="s">
        <v>370</v>
      </c>
      <c r="S9" s="14" t="s">
        <v>99</v>
      </c>
      <c r="T9" s="14" t="s">
        <v>99</v>
      </c>
      <c r="U9" s="14" t="s">
        <v>99</v>
      </c>
      <c r="V9" s="14" t="s">
        <v>99</v>
      </c>
      <c r="W9" s="14" t="s">
        <v>99</v>
      </c>
    </row>
    <row r="10" ht="76" customHeight="1" spans="1:23" s="7" customFormat="1" x14ac:dyDescent="0.25">
      <c r="A10" s="7">
        <v>9</v>
      </c>
      <c r="B10" s="8" t="s">
        <v>447</v>
      </c>
      <c r="C10" s="7" t="s">
        <v>80</v>
      </c>
      <c r="D10" s="7" t="s">
        <v>448</v>
      </c>
      <c r="E10" s="7" t="s">
        <v>449</v>
      </c>
      <c r="F10" s="7" t="s">
        <v>450</v>
      </c>
      <c r="G10" s="7" t="s">
        <v>451</v>
      </c>
      <c r="H10" s="7" t="s">
        <v>452</v>
      </c>
      <c r="I10" s="7" t="s">
        <v>453</v>
      </c>
      <c r="J10" s="7" t="s">
        <v>454</v>
      </c>
      <c r="K10" s="7" t="s">
        <v>455</v>
      </c>
      <c r="L10" s="7" t="s">
        <v>456</v>
      </c>
      <c r="M10" s="10" t="s">
        <v>90</v>
      </c>
      <c r="N10" s="7" t="s">
        <v>366</v>
      </c>
      <c r="O10" s="7" t="s">
        <v>392</v>
      </c>
      <c r="P10" s="7" t="s">
        <v>368</v>
      </c>
      <c r="Q10" s="7" t="s">
        <v>457</v>
      </c>
      <c r="R10" s="14" t="s">
        <v>370</v>
      </c>
      <c r="S10" s="14" t="s">
        <v>99</v>
      </c>
      <c r="T10" s="14" t="s">
        <v>99</v>
      </c>
      <c r="U10" s="14" t="s">
        <v>99</v>
      </c>
      <c r="V10" s="14" t="s">
        <v>99</v>
      </c>
      <c r="W10" s="14" t="s">
        <v>99</v>
      </c>
    </row>
    <row r="11" ht="76" customHeight="1" spans="1:23" s="7" customFormat="1" x14ac:dyDescent="0.25">
      <c r="A11" s="7">
        <v>10</v>
      </c>
      <c r="B11" s="8" t="s">
        <v>458</v>
      </c>
      <c r="C11" s="7" t="s">
        <v>80</v>
      </c>
      <c r="D11" s="7" t="s">
        <v>459</v>
      </c>
      <c r="E11" s="7" t="s">
        <v>460</v>
      </c>
      <c r="F11" s="7" t="s">
        <v>461</v>
      </c>
      <c r="G11" s="7" t="s">
        <v>462</v>
      </c>
      <c r="H11" s="7" t="s">
        <v>463</v>
      </c>
      <c r="I11" s="7" t="s">
        <v>464</v>
      </c>
      <c r="J11" s="7" t="s">
        <v>465</v>
      </c>
      <c r="K11" s="7" t="s">
        <v>455</v>
      </c>
      <c r="L11" s="7" t="s">
        <v>466</v>
      </c>
      <c r="M11" s="10" t="s">
        <v>90</v>
      </c>
      <c r="N11" s="7" t="s">
        <v>366</v>
      </c>
      <c r="O11" s="7" t="s">
        <v>367</v>
      </c>
      <c r="P11" s="7" t="s">
        <v>467</v>
      </c>
      <c r="Q11" s="7" t="s">
        <v>468</v>
      </c>
      <c r="R11" s="14" t="s">
        <v>370</v>
      </c>
      <c r="S11" s="14" t="s">
        <v>99</v>
      </c>
      <c r="T11" s="14" t="s">
        <v>99</v>
      </c>
      <c r="U11" s="14" t="s">
        <v>99</v>
      </c>
      <c r="V11" s="14" t="s">
        <v>99</v>
      </c>
      <c r="W11" s="14" t="s">
        <v>99</v>
      </c>
    </row>
    <row r="12" ht="76" customHeight="1" spans="1:23" s="7" customFormat="1" x14ac:dyDescent="0.25">
      <c r="A12" s="7">
        <v>11</v>
      </c>
      <c r="B12" s="8" t="s">
        <v>469</v>
      </c>
      <c r="C12" s="7" t="s">
        <v>80</v>
      </c>
      <c r="D12" s="7" t="s">
        <v>470</v>
      </c>
      <c r="E12" s="7" t="s">
        <v>471</v>
      </c>
      <c r="F12" s="7" t="s">
        <v>472</v>
      </c>
      <c r="G12" s="7" t="s">
        <v>473</v>
      </c>
      <c r="H12" s="7" t="s">
        <v>474</v>
      </c>
      <c r="I12" s="7" t="s">
        <v>475</v>
      </c>
      <c r="J12" s="7" t="s">
        <v>476</v>
      </c>
      <c r="K12" s="7" t="s">
        <v>477</v>
      </c>
      <c r="L12" s="7" t="s">
        <v>478</v>
      </c>
      <c r="M12" s="10" t="s">
        <v>90</v>
      </c>
      <c r="N12" s="7" t="s">
        <v>91</v>
      </c>
      <c r="O12" s="7" t="s">
        <v>392</v>
      </c>
      <c r="P12" s="7" t="s">
        <v>381</v>
      </c>
      <c r="Q12" s="7" t="s">
        <v>479</v>
      </c>
      <c r="R12" s="14" t="s">
        <v>370</v>
      </c>
      <c r="S12" s="14" t="s">
        <v>99</v>
      </c>
      <c r="T12" s="14" t="s">
        <v>99</v>
      </c>
      <c r="U12" s="14" t="s">
        <v>99</v>
      </c>
      <c r="V12" s="14" t="s">
        <v>99</v>
      </c>
      <c r="W12" s="14" t="s">
        <v>99</v>
      </c>
    </row>
    <row r="13" ht="76" customHeight="1" spans="1:23" s="7" customFormat="1" x14ac:dyDescent="0.25">
      <c r="A13" s="7">
        <v>12</v>
      </c>
      <c r="B13" s="8" t="s">
        <v>480</v>
      </c>
      <c r="C13" s="7" t="s">
        <v>80</v>
      </c>
      <c r="D13" s="7" t="s">
        <v>481</v>
      </c>
      <c r="E13" s="7" t="s">
        <v>482</v>
      </c>
      <c r="F13" s="7" t="s">
        <v>483</v>
      </c>
      <c r="G13" s="7" t="s">
        <v>484</v>
      </c>
      <c r="H13" s="7" t="s">
        <v>485</v>
      </c>
      <c r="I13" s="7" t="s">
        <v>486</v>
      </c>
      <c r="J13" s="7" t="s">
        <v>487</v>
      </c>
      <c r="K13" s="7" t="s">
        <v>488</v>
      </c>
      <c r="L13" s="7" t="s">
        <v>489</v>
      </c>
      <c r="M13" s="10" t="s">
        <v>90</v>
      </c>
      <c r="N13" s="7" t="s">
        <v>91</v>
      </c>
      <c r="O13" s="7" t="s">
        <v>367</v>
      </c>
      <c r="P13" s="7" t="s">
        <v>467</v>
      </c>
      <c r="Q13" s="7" t="s">
        <v>490</v>
      </c>
      <c r="R13" s="14" t="s">
        <v>370</v>
      </c>
      <c r="S13" s="14" t="s">
        <v>99</v>
      </c>
      <c r="T13" s="14" t="s">
        <v>99</v>
      </c>
      <c r="U13" s="14" t="s">
        <v>99</v>
      </c>
      <c r="V13" s="14" t="s">
        <v>99</v>
      </c>
      <c r="W13" s="14" t="s">
        <v>99</v>
      </c>
    </row>
    <row r="14" ht="76" customHeight="1" spans="1:23" s="7" customFormat="1" x14ac:dyDescent="0.25">
      <c r="A14" s="7">
        <v>13</v>
      </c>
      <c r="B14" s="8" t="s">
        <v>491</v>
      </c>
      <c r="C14" s="7" t="s">
        <v>80</v>
      </c>
      <c r="D14" s="7" t="s">
        <v>492</v>
      </c>
      <c r="E14" s="7" t="s">
        <v>493</v>
      </c>
      <c r="F14" s="7" t="s">
        <v>494</v>
      </c>
      <c r="G14" s="7" t="s">
        <v>495</v>
      </c>
      <c r="H14" s="7" t="s">
        <v>496</v>
      </c>
      <c r="I14" s="7" t="s">
        <v>497</v>
      </c>
      <c r="J14" s="7" t="s">
        <v>498</v>
      </c>
      <c r="K14" s="7" t="s">
        <v>499</v>
      </c>
      <c r="L14" s="7" t="s">
        <v>500</v>
      </c>
      <c r="M14" s="10" t="s">
        <v>90</v>
      </c>
      <c r="N14" s="7" t="s">
        <v>91</v>
      </c>
      <c r="O14" s="7" t="s">
        <v>367</v>
      </c>
      <c r="P14" s="7" t="s">
        <v>393</v>
      </c>
      <c r="Q14" s="7" t="s">
        <v>501</v>
      </c>
      <c r="R14" s="14" t="s">
        <v>370</v>
      </c>
      <c r="S14" s="14" t="s">
        <v>99</v>
      </c>
      <c r="T14" s="14" t="s">
        <v>99</v>
      </c>
      <c r="U14" s="14" t="s">
        <v>99</v>
      </c>
      <c r="V14" s="14" t="s">
        <v>99</v>
      </c>
      <c r="W14" s="14" t="s">
        <v>99</v>
      </c>
    </row>
    <row r="15" ht="76" customHeight="1" spans="1:23" s="7" customFormat="1" x14ac:dyDescent="0.25">
      <c r="A15" s="7">
        <v>14</v>
      </c>
      <c r="B15" s="8" t="s">
        <v>502</v>
      </c>
      <c r="C15" s="7" t="s">
        <v>80</v>
      </c>
      <c r="D15" s="7" t="s">
        <v>503</v>
      </c>
      <c r="E15" s="7" t="s">
        <v>504</v>
      </c>
      <c r="F15" s="7" t="s">
        <v>505</v>
      </c>
      <c r="G15" s="7" t="s">
        <v>506</v>
      </c>
      <c r="H15" s="7" t="s">
        <v>507</v>
      </c>
      <c r="I15" s="7" t="s">
        <v>508</v>
      </c>
      <c r="J15" s="7" t="s">
        <v>509</v>
      </c>
      <c r="K15" s="7" t="s">
        <v>403</v>
      </c>
      <c r="L15" s="7" t="s">
        <v>510</v>
      </c>
      <c r="M15" s="10" t="s">
        <v>90</v>
      </c>
      <c r="N15" s="7" t="s">
        <v>91</v>
      </c>
      <c r="O15" s="7" t="s">
        <v>392</v>
      </c>
      <c r="P15" s="7" t="s">
        <v>381</v>
      </c>
      <c r="Q15" s="7" t="s">
        <v>405</v>
      </c>
      <c r="R15" s="14" t="s">
        <v>370</v>
      </c>
      <c r="S15" s="14" t="s">
        <v>99</v>
      </c>
      <c r="T15" s="14" t="s">
        <v>99</v>
      </c>
      <c r="U15" s="14" t="s">
        <v>99</v>
      </c>
      <c r="V15" s="14" t="s">
        <v>99</v>
      </c>
      <c r="W15" s="14" t="s">
        <v>99</v>
      </c>
    </row>
    <row r="16" ht="76" customHeight="1" spans="1:23" s="7" customFormat="1" x14ac:dyDescent="0.25">
      <c r="A16" s="7">
        <v>15</v>
      </c>
      <c r="B16" s="8" t="s">
        <v>511</v>
      </c>
      <c r="C16" s="7" t="s">
        <v>80</v>
      </c>
      <c r="D16" s="7" t="s">
        <v>512</v>
      </c>
      <c r="E16" s="7" t="s">
        <v>513</v>
      </c>
      <c r="F16" s="7" t="s">
        <v>514</v>
      </c>
      <c r="G16" s="7" t="s">
        <v>515</v>
      </c>
      <c r="H16" s="7" t="s">
        <v>516</v>
      </c>
      <c r="I16" s="7" t="s">
        <v>517</v>
      </c>
      <c r="J16" s="7" t="s">
        <v>518</v>
      </c>
      <c r="K16" s="7" t="s">
        <v>519</v>
      </c>
      <c r="L16" s="7" t="s">
        <v>520</v>
      </c>
      <c r="M16" s="10" t="s">
        <v>90</v>
      </c>
      <c r="N16" s="7" t="s">
        <v>91</v>
      </c>
      <c r="O16" s="7" t="s">
        <v>367</v>
      </c>
      <c r="P16" s="7" t="s">
        <v>381</v>
      </c>
      <c r="Q16" s="7" t="s">
        <v>521</v>
      </c>
      <c r="R16" s="14" t="s">
        <v>370</v>
      </c>
      <c r="S16" s="14" t="s">
        <v>99</v>
      </c>
      <c r="T16" s="14" t="s">
        <v>99</v>
      </c>
      <c r="U16" s="14" t="s">
        <v>99</v>
      </c>
      <c r="V16" s="14" t="s">
        <v>99</v>
      </c>
      <c r="W16" s="14" t="s">
        <v>99</v>
      </c>
    </row>
    <row r="17" ht="76" customHeight="1" spans="1:23" s="7" customFormat="1" x14ac:dyDescent="0.25">
      <c r="A17" s="7">
        <v>16</v>
      </c>
      <c r="B17" s="8" t="s">
        <v>522</v>
      </c>
      <c r="C17" s="7" t="s">
        <v>80</v>
      </c>
      <c r="D17" s="7" t="s">
        <v>523</v>
      </c>
      <c r="E17" s="7" t="s">
        <v>524</v>
      </c>
      <c r="F17" s="7" t="s">
        <v>525</v>
      </c>
      <c r="G17" s="7" t="s">
        <v>526</v>
      </c>
      <c r="H17" s="7" t="s">
        <v>527</v>
      </c>
      <c r="I17" s="7" t="s">
        <v>528</v>
      </c>
      <c r="J17" s="7" t="s">
        <v>529</v>
      </c>
      <c r="K17" s="7" t="s">
        <v>403</v>
      </c>
      <c r="L17" s="7" t="s">
        <v>530</v>
      </c>
      <c r="M17" s="15" t="s">
        <v>380</v>
      </c>
      <c r="N17" s="7" t="s">
        <v>366</v>
      </c>
      <c r="O17" s="7" t="s">
        <v>367</v>
      </c>
      <c r="P17" s="7" t="s">
        <v>393</v>
      </c>
      <c r="Q17" s="7" t="s">
        <v>415</v>
      </c>
      <c r="R17" s="14" t="s">
        <v>370</v>
      </c>
      <c r="S17" s="14" t="s">
        <v>99</v>
      </c>
      <c r="T17" s="14" t="s">
        <v>99</v>
      </c>
      <c r="U17" s="14" t="s">
        <v>99</v>
      </c>
      <c r="V17" s="14" t="s">
        <v>99</v>
      </c>
      <c r="W17" s="14" t="s">
        <v>99</v>
      </c>
    </row>
    <row r="18" ht="76" customHeight="1" spans="1:23" s="7" customFormat="1" x14ac:dyDescent="0.25">
      <c r="A18" s="7">
        <v>17</v>
      </c>
      <c r="B18" s="8" t="s">
        <v>531</v>
      </c>
      <c r="C18" s="7" t="s">
        <v>80</v>
      </c>
      <c r="D18" s="7" t="s">
        <v>532</v>
      </c>
      <c r="E18" s="7" t="s">
        <v>533</v>
      </c>
      <c r="F18" s="7" t="s">
        <v>534</v>
      </c>
      <c r="G18" s="7" t="s">
        <v>535</v>
      </c>
      <c r="H18" s="7" t="s">
        <v>536</v>
      </c>
      <c r="I18" s="7" t="s">
        <v>537</v>
      </c>
      <c r="J18" s="7" t="s">
        <v>538</v>
      </c>
      <c r="K18" s="7" t="s">
        <v>539</v>
      </c>
      <c r="L18" s="7" t="s">
        <v>540</v>
      </c>
      <c r="M18" s="10" t="s">
        <v>90</v>
      </c>
      <c r="N18" s="7" t="s">
        <v>91</v>
      </c>
      <c r="O18" s="7" t="s">
        <v>392</v>
      </c>
      <c r="P18" s="7" t="s">
        <v>467</v>
      </c>
      <c r="Q18" s="7" t="s">
        <v>541</v>
      </c>
      <c r="R18" s="14" t="s">
        <v>370</v>
      </c>
      <c r="S18" s="14" t="s">
        <v>99</v>
      </c>
      <c r="T18" s="14" t="s">
        <v>99</v>
      </c>
      <c r="U18" s="14" t="s">
        <v>99</v>
      </c>
      <c r="V18" s="14" t="s">
        <v>99</v>
      </c>
      <c r="W18" s="14" t="s">
        <v>99</v>
      </c>
    </row>
    <row r="19" ht="76" customHeight="1" spans="1:23" s="7" customFormat="1" x14ac:dyDescent="0.25">
      <c r="A19" s="7">
        <v>18</v>
      </c>
      <c r="B19" s="8" t="s">
        <v>542</v>
      </c>
      <c r="C19" s="7" t="s">
        <v>80</v>
      </c>
      <c r="D19" s="7" t="s">
        <v>543</v>
      </c>
      <c r="E19" s="7" t="s">
        <v>544</v>
      </c>
      <c r="F19" s="7" t="s">
        <v>545</v>
      </c>
      <c r="G19" s="7" t="s">
        <v>546</v>
      </c>
      <c r="H19" s="7" t="s">
        <v>547</v>
      </c>
      <c r="I19" s="7" t="s">
        <v>548</v>
      </c>
      <c r="J19" s="7" t="s">
        <v>549</v>
      </c>
      <c r="K19" s="7" t="s">
        <v>550</v>
      </c>
      <c r="L19" s="7" t="s">
        <v>551</v>
      </c>
      <c r="M19" s="10" t="s">
        <v>90</v>
      </c>
      <c r="N19" s="7" t="s">
        <v>91</v>
      </c>
      <c r="O19" s="7" t="s">
        <v>367</v>
      </c>
      <c r="P19" s="7" t="s">
        <v>381</v>
      </c>
      <c r="Q19" s="7" t="s">
        <v>552</v>
      </c>
      <c r="R19" s="14" t="s">
        <v>370</v>
      </c>
      <c r="S19" s="14" t="s">
        <v>99</v>
      </c>
      <c r="T19" s="14" t="s">
        <v>99</v>
      </c>
      <c r="U19" s="14" t="s">
        <v>99</v>
      </c>
      <c r="V19" s="14" t="s">
        <v>99</v>
      </c>
      <c r="W19" s="14" t="s">
        <v>99</v>
      </c>
    </row>
    <row r="20" ht="76" customHeight="1" spans="1:23" s="7" customFormat="1" x14ac:dyDescent="0.25">
      <c r="A20" s="7">
        <v>19</v>
      </c>
      <c r="B20" s="8" t="s">
        <v>553</v>
      </c>
      <c r="C20" s="7" t="s">
        <v>80</v>
      </c>
      <c r="D20" s="7" t="s">
        <v>554</v>
      </c>
      <c r="E20" s="7" t="s">
        <v>555</v>
      </c>
      <c r="F20" s="7" t="s">
        <v>556</v>
      </c>
      <c r="G20" s="7" t="s">
        <v>557</v>
      </c>
      <c r="H20" s="7" t="s">
        <v>558</v>
      </c>
      <c r="I20" s="7" t="s">
        <v>559</v>
      </c>
      <c r="J20" s="7" t="s">
        <v>560</v>
      </c>
      <c r="K20" s="7" t="s">
        <v>488</v>
      </c>
      <c r="L20" s="7" t="s">
        <v>561</v>
      </c>
      <c r="M20" s="15" t="s">
        <v>380</v>
      </c>
      <c r="N20" s="7" t="s">
        <v>366</v>
      </c>
      <c r="O20" s="7" t="s">
        <v>367</v>
      </c>
      <c r="P20" s="7" t="s">
        <v>381</v>
      </c>
      <c r="Q20" s="7" t="s">
        <v>562</v>
      </c>
      <c r="R20" s="14" t="s">
        <v>370</v>
      </c>
      <c r="S20" s="14" t="s">
        <v>99</v>
      </c>
      <c r="T20" s="14" t="s">
        <v>99</v>
      </c>
      <c r="U20" s="14" t="s">
        <v>99</v>
      </c>
      <c r="V20" s="14" t="s">
        <v>99</v>
      </c>
      <c r="W20" s="14" t="s">
        <v>99</v>
      </c>
    </row>
    <row r="21" ht="76" customHeight="1" spans="1:23" s="7" customFormat="1" x14ac:dyDescent="0.25">
      <c r="A21" s="7">
        <v>20</v>
      </c>
      <c r="B21" s="8" t="s">
        <v>563</v>
      </c>
      <c r="C21" s="7" t="s">
        <v>80</v>
      </c>
      <c r="D21" s="7" t="s">
        <v>564</v>
      </c>
      <c r="E21" s="7" t="s">
        <v>565</v>
      </c>
      <c r="F21" s="7" t="s">
        <v>566</v>
      </c>
      <c r="G21" s="7" t="s">
        <v>567</v>
      </c>
      <c r="H21" s="7" t="s">
        <v>568</v>
      </c>
      <c r="I21" s="7" t="s">
        <v>569</v>
      </c>
      <c r="J21" s="7" t="s">
        <v>570</v>
      </c>
      <c r="K21" s="7" t="s">
        <v>364</v>
      </c>
      <c r="L21" s="7" t="s">
        <v>571</v>
      </c>
      <c r="M21" s="15" t="s">
        <v>380</v>
      </c>
      <c r="N21" s="7" t="s">
        <v>366</v>
      </c>
      <c r="O21" s="7" t="s">
        <v>392</v>
      </c>
      <c r="P21" s="7" t="s">
        <v>368</v>
      </c>
      <c r="Q21" s="7" t="s">
        <v>369</v>
      </c>
      <c r="R21" s="14" t="s">
        <v>370</v>
      </c>
      <c r="S21" s="14" t="s">
        <v>99</v>
      </c>
      <c r="T21" s="14" t="s">
        <v>99</v>
      </c>
      <c r="U21" s="14" t="s">
        <v>99</v>
      </c>
      <c r="V21" s="14" t="s">
        <v>99</v>
      </c>
      <c r="W21" s="14" t="s">
        <v>99</v>
      </c>
    </row>
    <row r="22" ht="76" customHeight="1" spans="1:23" s="7" customFormat="1" x14ac:dyDescent="0.25">
      <c r="A22" s="7">
        <v>21</v>
      </c>
      <c r="B22" s="8" t="s">
        <v>572</v>
      </c>
      <c r="C22" s="7" t="s">
        <v>80</v>
      </c>
      <c r="D22" s="7" t="s">
        <v>573</v>
      </c>
      <c r="E22" s="7" t="s">
        <v>574</v>
      </c>
      <c r="F22" s="7" t="s">
        <v>575</v>
      </c>
      <c r="G22" s="7" t="s">
        <v>576</v>
      </c>
      <c r="H22" s="7" t="s">
        <v>577</v>
      </c>
      <c r="I22" s="7" t="s">
        <v>578</v>
      </c>
      <c r="J22" s="7" t="s">
        <v>579</v>
      </c>
      <c r="K22" s="7" t="s">
        <v>444</v>
      </c>
      <c r="L22" s="7" t="s">
        <v>580</v>
      </c>
      <c r="M22" s="10" t="s">
        <v>90</v>
      </c>
      <c r="N22" s="7" t="s">
        <v>91</v>
      </c>
      <c r="O22" s="7" t="s">
        <v>392</v>
      </c>
      <c r="P22" s="7" t="s">
        <v>467</v>
      </c>
      <c r="Q22" s="7" t="s">
        <v>581</v>
      </c>
      <c r="R22" s="14" t="s">
        <v>370</v>
      </c>
      <c r="S22" s="14" t="s">
        <v>99</v>
      </c>
      <c r="T22" s="14" t="s">
        <v>99</v>
      </c>
      <c r="U22" s="14" t="s">
        <v>99</v>
      </c>
      <c r="V22" s="14" t="s">
        <v>99</v>
      </c>
      <c r="W22" s="14" t="s">
        <v>99</v>
      </c>
    </row>
    <row r="23" ht="76" customHeight="1" spans="1:23" s="7" customFormat="1" x14ac:dyDescent="0.25">
      <c r="A23" s="7">
        <v>22</v>
      </c>
      <c r="B23" s="8" t="s">
        <v>582</v>
      </c>
      <c r="C23" s="7" t="s">
        <v>80</v>
      </c>
      <c r="D23" s="7" t="s">
        <v>583</v>
      </c>
      <c r="E23" s="7" t="s">
        <v>584</v>
      </c>
      <c r="F23" s="7" t="s">
        <v>585</v>
      </c>
      <c r="G23" s="7" t="s">
        <v>586</v>
      </c>
      <c r="H23" s="7" t="s">
        <v>587</v>
      </c>
      <c r="I23" s="7" t="s">
        <v>588</v>
      </c>
      <c r="J23" s="7" t="s">
        <v>589</v>
      </c>
      <c r="K23" s="7" t="s">
        <v>403</v>
      </c>
      <c r="L23" s="7" t="s">
        <v>590</v>
      </c>
      <c r="M23" s="10" t="s">
        <v>90</v>
      </c>
      <c r="N23" s="7" t="s">
        <v>91</v>
      </c>
      <c r="O23" s="7" t="s">
        <v>392</v>
      </c>
      <c r="P23" s="7" t="s">
        <v>467</v>
      </c>
      <c r="Q23" s="7" t="s">
        <v>591</v>
      </c>
      <c r="R23" s="14" t="s">
        <v>370</v>
      </c>
      <c r="S23" s="14" t="s">
        <v>99</v>
      </c>
      <c r="T23" s="14" t="s">
        <v>99</v>
      </c>
      <c r="U23" s="14" t="s">
        <v>99</v>
      </c>
      <c r="V23" s="14" t="s">
        <v>99</v>
      </c>
      <c r="W23" s="14" t="s">
        <v>99</v>
      </c>
    </row>
    <row r="24" ht="76" customHeight="1" spans="1:23" s="7" customFormat="1" x14ac:dyDescent="0.25">
      <c r="A24" s="7">
        <v>23</v>
      </c>
      <c r="B24" s="8" t="s">
        <v>592</v>
      </c>
      <c r="C24" s="7" t="s">
        <v>80</v>
      </c>
      <c r="D24" s="7" t="s">
        <v>593</v>
      </c>
      <c r="E24" s="7" t="s">
        <v>594</v>
      </c>
      <c r="F24" s="7" t="s">
        <v>595</v>
      </c>
      <c r="G24" s="7" t="s">
        <v>596</v>
      </c>
      <c r="H24" s="7" t="s">
        <v>597</v>
      </c>
      <c r="I24" s="7" t="s">
        <v>598</v>
      </c>
      <c r="J24" s="7" t="s">
        <v>599</v>
      </c>
      <c r="K24" s="7" t="s">
        <v>600</v>
      </c>
      <c r="L24" s="7" t="s">
        <v>601</v>
      </c>
      <c r="M24" s="10" t="s">
        <v>90</v>
      </c>
      <c r="N24" s="7" t="s">
        <v>91</v>
      </c>
      <c r="O24" s="7" t="s">
        <v>392</v>
      </c>
      <c r="P24" s="7" t="s">
        <v>381</v>
      </c>
      <c r="Q24" s="7" t="s">
        <v>602</v>
      </c>
      <c r="R24" s="14" t="s">
        <v>370</v>
      </c>
      <c r="S24" s="14" t="s">
        <v>99</v>
      </c>
      <c r="T24" s="14" t="s">
        <v>99</v>
      </c>
      <c r="U24" s="14" t="s">
        <v>99</v>
      </c>
      <c r="V24" s="14" t="s">
        <v>99</v>
      </c>
      <c r="W24" s="14" t="s">
        <v>99</v>
      </c>
    </row>
    <row r="25" ht="76" customHeight="1" spans="1:23" s="7" customFormat="1" x14ac:dyDescent="0.25">
      <c r="A25" s="7">
        <v>24</v>
      </c>
      <c r="B25" s="8" t="s">
        <v>603</v>
      </c>
      <c r="C25" s="7" t="s">
        <v>80</v>
      </c>
      <c r="D25" s="7" t="s">
        <v>214</v>
      </c>
      <c r="E25" s="7" t="s">
        <v>604</v>
      </c>
      <c r="F25" s="7" t="s">
        <v>605</v>
      </c>
      <c r="G25" s="7" t="s">
        <v>606</v>
      </c>
      <c r="H25" s="7" t="s">
        <v>607</v>
      </c>
      <c r="I25" s="7" t="s">
        <v>608</v>
      </c>
      <c r="J25" s="7" t="s">
        <v>609</v>
      </c>
      <c r="K25" s="7" t="s">
        <v>610</v>
      </c>
      <c r="L25" s="7" t="s">
        <v>611</v>
      </c>
      <c r="M25" s="10" t="s">
        <v>90</v>
      </c>
      <c r="N25" s="7" t="s">
        <v>91</v>
      </c>
      <c r="O25" s="7" t="s">
        <v>392</v>
      </c>
      <c r="P25" s="7" t="s">
        <v>612</v>
      </c>
      <c r="Q25" s="7" t="s">
        <v>613</v>
      </c>
      <c r="R25" s="14" t="s">
        <v>370</v>
      </c>
      <c r="S25" s="14" t="s">
        <v>99</v>
      </c>
      <c r="T25" s="14" t="s">
        <v>99</v>
      </c>
      <c r="U25" s="14" t="s">
        <v>99</v>
      </c>
      <c r="V25" s="14" t="s">
        <v>99</v>
      </c>
      <c r="W25" s="14" t="s">
        <v>99</v>
      </c>
    </row>
    <row r="26" ht="76" customHeight="1" spans="1:23" s="7" customFormat="1" x14ac:dyDescent="0.25">
      <c r="A26" s="7">
        <v>25</v>
      </c>
      <c r="B26" s="8" t="s">
        <v>614</v>
      </c>
      <c r="C26" s="7" t="s">
        <v>80</v>
      </c>
      <c r="D26" s="7" t="s">
        <v>615</v>
      </c>
      <c r="E26" s="7" t="s">
        <v>616</v>
      </c>
      <c r="F26" s="7" t="s">
        <v>617</v>
      </c>
      <c r="G26" s="7" t="s">
        <v>618</v>
      </c>
      <c r="H26" s="7" t="s">
        <v>619</v>
      </c>
      <c r="I26" s="7" t="s">
        <v>620</v>
      </c>
      <c r="J26" s="7" t="s">
        <v>621</v>
      </c>
      <c r="K26" s="7" t="s">
        <v>539</v>
      </c>
      <c r="L26" s="7" t="s">
        <v>622</v>
      </c>
      <c r="M26" s="10" t="s">
        <v>90</v>
      </c>
      <c r="N26" s="11" t="s">
        <v>158</v>
      </c>
      <c r="O26" s="7" t="s">
        <v>392</v>
      </c>
      <c r="P26" s="7" t="s">
        <v>623</v>
      </c>
      <c r="Q26" s="7" t="s">
        <v>624</v>
      </c>
      <c r="R26" s="14" t="s">
        <v>370</v>
      </c>
      <c r="S26" s="14" t="s">
        <v>99</v>
      </c>
      <c r="T26" s="14" t="s">
        <v>99</v>
      </c>
      <c r="U26" s="14" t="s">
        <v>99</v>
      </c>
      <c r="V26" s="14" t="s">
        <v>99</v>
      </c>
      <c r="W26" s="14" t="s">
        <v>99</v>
      </c>
    </row>
    <row r="27" ht="76" customHeight="1" spans="1:23" s="7" customFormat="1" x14ac:dyDescent="0.25">
      <c r="A27" s="7">
        <v>26</v>
      </c>
      <c r="B27" s="8" t="s">
        <v>625</v>
      </c>
      <c r="C27" s="7" t="s">
        <v>80</v>
      </c>
      <c r="D27" s="7" t="s">
        <v>626</v>
      </c>
      <c r="E27" s="7" t="s">
        <v>627</v>
      </c>
      <c r="F27" s="7" t="s">
        <v>628</v>
      </c>
      <c r="G27" s="7" t="s">
        <v>629</v>
      </c>
      <c r="H27" s="7" t="s">
        <v>630</v>
      </c>
      <c r="I27" s="7" t="s">
        <v>631</v>
      </c>
      <c r="J27" s="7" t="s">
        <v>632</v>
      </c>
      <c r="K27" s="7" t="s">
        <v>633</v>
      </c>
      <c r="L27" s="7" t="s">
        <v>634</v>
      </c>
      <c r="M27" s="10" t="s">
        <v>90</v>
      </c>
      <c r="N27" s="11" t="s">
        <v>158</v>
      </c>
      <c r="O27" s="7" t="s">
        <v>392</v>
      </c>
      <c r="P27" s="7" t="s">
        <v>381</v>
      </c>
      <c r="Q27" s="7" t="s">
        <v>635</v>
      </c>
      <c r="R27" s="14" t="s">
        <v>370</v>
      </c>
      <c r="S27" s="14" t="s">
        <v>99</v>
      </c>
      <c r="T27" s="14" t="s">
        <v>99</v>
      </c>
      <c r="U27" s="14" t="s">
        <v>99</v>
      </c>
      <c r="V27" s="14" t="s">
        <v>99</v>
      </c>
      <c r="W27" s="14" t="s">
        <v>99</v>
      </c>
    </row>
    <row r="28" ht="76" customHeight="1" spans="1:23" s="7" customFormat="1" x14ac:dyDescent="0.25">
      <c r="A28" s="7">
        <v>27</v>
      </c>
      <c r="B28" s="8" t="s">
        <v>636</v>
      </c>
      <c r="C28" s="7" t="s">
        <v>80</v>
      </c>
      <c r="D28" s="7" t="s">
        <v>637</v>
      </c>
      <c r="E28" s="7" t="s">
        <v>638</v>
      </c>
      <c r="F28" s="7" t="s">
        <v>639</v>
      </c>
      <c r="G28" s="7" t="s">
        <v>640</v>
      </c>
      <c r="H28" s="7" t="s">
        <v>641</v>
      </c>
      <c r="I28" s="7" t="s">
        <v>642</v>
      </c>
      <c r="J28" s="7" t="s">
        <v>643</v>
      </c>
      <c r="K28" s="7" t="s">
        <v>433</v>
      </c>
      <c r="L28" s="7" t="s">
        <v>644</v>
      </c>
      <c r="M28" s="10" t="s">
        <v>90</v>
      </c>
      <c r="N28" s="7" t="s">
        <v>91</v>
      </c>
      <c r="O28" s="7" t="s">
        <v>367</v>
      </c>
      <c r="P28" s="7" t="s">
        <v>381</v>
      </c>
      <c r="Q28" s="7" t="s">
        <v>435</v>
      </c>
      <c r="R28" s="14" t="s">
        <v>370</v>
      </c>
      <c r="S28" s="14" t="s">
        <v>99</v>
      </c>
      <c r="T28" s="14" t="s">
        <v>99</v>
      </c>
      <c r="U28" s="14" t="s">
        <v>99</v>
      </c>
      <c r="V28" s="14" t="s">
        <v>99</v>
      </c>
      <c r="W28" s="14" t="s">
        <v>99</v>
      </c>
    </row>
    <row r="29" ht="76" customHeight="1" spans="1:23" s="7" customFormat="1" x14ac:dyDescent="0.25">
      <c r="A29" s="7">
        <v>28</v>
      </c>
      <c r="B29" s="8" t="s">
        <v>645</v>
      </c>
      <c r="C29" s="7" t="s">
        <v>80</v>
      </c>
      <c r="D29" s="7" t="s">
        <v>646</v>
      </c>
      <c r="E29" s="7" t="s">
        <v>647</v>
      </c>
      <c r="F29" s="7" t="s">
        <v>648</v>
      </c>
      <c r="G29" s="7" t="s">
        <v>649</v>
      </c>
      <c r="H29" s="7" t="s">
        <v>650</v>
      </c>
      <c r="I29" s="7" t="s">
        <v>651</v>
      </c>
      <c r="J29" s="7" t="s">
        <v>652</v>
      </c>
      <c r="K29" s="7" t="s">
        <v>433</v>
      </c>
      <c r="L29" s="7" t="s">
        <v>653</v>
      </c>
      <c r="M29" s="10" t="s">
        <v>90</v>
      </c>
      <c r="N29" s="11" t="s">
        <v>158</v>
      </c>
      <c r="O29" s="7" t="s">
        <v>367</v>
      </c>
      <c r="P29" s="7" t="s">
        <v>381</v>
      </c>
      <c r="Q29" s="7" t="s">
        <v>435</v>
      </c>
      <c r="R29" s="14" t="s">
        <v>370</v>
      </c>
      <c r="S29" s="14" t="s">
        <v>99</v>
      </c>
      <c r="T29" s="14" t="s">
        <v>99</v>
      </c>
      <c r="U29" s="14" t="s">
        <v>99</v>
      </c>
      <c r="V29" s="14" t="s">
        <v>99</v>
      </c>
      <c r="W29" s="14" t="s">
        <v>99</v>
      </c>
    </row>
    <row r="30" ht="76" customHeight="1" spans="1:23" s="7" customFormat="1" x14ac:dyDescent="0.25">
      <c r="A30" s="7">
        <v>29</v>
      </c>
      <c r="B30" s="8" t="s">
        <v>654</v>
      </c>
      <c r="C30" s="7" t="s">
        <v>80</v>
      </c>
      <c r="D30" s="7" t="s">
        <v>655</v>
      </c>
      <c r="E30" s="7" t="s">
        <v>656</v>
      </c>
      <c r="F30" s="7" t="s">
        <v>657</v>
      </c>
      <c r="G30" s="7" t="s">
        <v>658</v>
      </c>
      <c r="H30" s="7" t="s">
        <v>659</v>
      </c>
      <c r="I30" s="7" t="s">
        <v>660</v>
      </c>
      <c r="J30" s="7" t="s">
        <v>661</v>
      </c>
      <c r="K30" s="7" t="s">
        <v>433</v>
      </c>
      <c r="L30" s="7" t="s">
        <v>662</v>
      </c>
      <c r="M30" s="10" t="s">
        <v>90</v>
      </c>
      <c r="N30" s="11" t="s">
        <v>158</v>
      </c>
      <c r="O30" s="7" t="s">
        <v>367</v>
      </c>
      <c r="P30" s="7" t="s">
        <v>381</v>
      </c>
      <c r="Q30" s="7" t="s">
        <v>435</v>
      </c>
      <c r="R30" s="14" t="s">
        <v>370</v>
      </c>
      <c r="S30" s="14" t="s">
        <v>99</v>
      </c>
      <c r="T30" s="14" t="s">
        <v>99</v>
      </c>
      <c r="U30" s="14" t="s">
        <v>99</v>
      </c>
      <c r="V30" s="14" t="s">
        <v>99</v>
      </c>
      <c r="W30" s="14" t="s">
        <v>99</v>
      </c>
    </row>
    <row r="31" ht="76" customHeight="1" spans="1:23" s="7" customFormat="1" x14ac:dyDescent="0.25">
      <c r="A31" s="7">
        <v>30</v>
      </c>
      <c r="B31" s="8" t="s">
        <v>663</v>
      </c>
      <c r="C31" s="7" t="s">
        <v>80</v>
      </c>
      <c r="D31" s="7" t="s">
        <v>664</v>
      </c>
      <c r="E31" s="7" t="s">
        <v>665</v>
      </c>
      <c r="F31" s="7" t="s">
        <v>666</v>
      </c>
      <c r="G31" s="7" t="s">
        <v>667</v>
      </c>
      <c r="H31" s="7" t="s">
        <v>668</v>
      </c>
      <c r="I31" s="7" t="s">
        <v>669</v>
      </c>
      <c r="J31" s="7" t="s">
        <v>670</v>
      </c>
      <c r="K31" s="7" t="s">
        <v>671</v>
      </c>
      <c r="L31" s="7" t="s">
        <v>672</v>
      </c>
      <c r="M31" s="10" t="s">
        <v>90</v>
      </c>
      <c r="N31" s="7" t="s">
        <v>91</v>
      </c>
      <c r="O31" s="7" t="s">
        <v>367</v>
      </c>
      <c r="P31" s="7" t="s">
        <v>393</v>
      </c>
      <c r="Q31" s="7" t="s">
        <v>673</v>
      </c>
      <c r="R31" s="14" t="s">
        <v>370</v>
      </c>
      <c r="S31" s="14" t="s">
        <v>99</v>
      </c>
      <c r="T31" s="14" t="s">
        <v>99</v>
      </c>
      <c r="U31" s="14" t="s">
        <v>99</v>
      </c>
      <c r="V31" s="14" t="s">
        <v>99</v>
      </c>
      <c r="W31" s="14" t="s">
        <v>99</v>
      </c>
    </row>
    <row r="32" ht="76" customHeight="1" spans="1:23" s="7" customFormat="1" x14ac:dyDescent="0.25">
      <c r="A32" s="7">
        <v>31</v>
      </c>
      <c r="B32" s="8" t="s">
        <v>674</v>
      </c>
      <c r="C32" s="7" t="s">
        <v>80</v>
      </c>
      <c r="D32" s="7" t="s">
        <v>675</v>
      </c>
      <c r="E32" s="7" t="s">
        <v>676</v>
      </c>
      <c r="F32" s="7" t="s">
        <v>677</v>
      </c>
      <c r="G32" s="7" t="s">
        <v>678</v>
      </c>
      <c r="H32" s="7" t="s">
        <v>679</v>
      </c>
      <c r="I32" s="7" t="s">
        <v>680</v>
      </c>
      <c r="J32" s="7" t="s">
        <v>681</v>
      </c>
      <c r="K32" s="7" t="s">
        <v>682</v>
      </c>
      <c r="L32" s="7" t="s">
        <v>683</v>
      </c>
      <c r="M32" s="10" t="s">
        <v>90</v>
      </c>
      <c r="N32" s="7" t="s">
        <v>91</v>
      </c>
      <c r="O32" s="7" t="s">
        <v>684</v>
      </c>
      <c r="P32" s="7" t="s">
        <v>685</v>
      </c>
      <c r="Q32" s="7" t="s">
        <v>686</v>
      </c>
      <c r="R32" s="14" t="s">
        <v>370</v>
      </c>
      <c r="S32" s="14" t="s">
        <v>99</v>
      </c>
      <c r="T32" s="14" t="s">
        <v>99</v>
      </c>
      <c r="U32" s="14" t="s">
        <v>99</v>
      </c>
      <c r="V32" s="14" t="s">
        <v>99</v>
      </c>
      <c r="W32" s="14" t="s">
        <v>99</v>
      </c>
    </row>
    <row r="33" ht="76" customHeight="1" spans="1:23" s="7" customFormat="1" x14ac:dyDescent="0.25">
      <c r="A33" s="7">
        <v>32</v>
      </c>
      <c r="B33" s="8" t="s">
        <v>687</v>
      </c>
      <c r="C33" s="7" t="s">
        <v>80</v>
      </c>
      <c r="D33" s="7" t="s">
        <v>688</v>
      </c>
      <c r="E33" s="7" t="s">
        <v>689</v>
      </c>
      <c r="F33" s="7" t="s">
        <v>690</v>
      </c>
      <c r="G33" s="7" t="s">
        <v>691</v>
      </c>
      <c r="H33" s="7" t="s">
        <v>692</v>
      </c>
      <c r="I33" s="7" t="s">
        <v>693</v>
      </c>
      <c r="J33" s="7" t="s">
        <v>694</v>
      </c>
      <c r="K33" s="7" t="s">
        <v>695</v>
      </c>
      <c r="L33" s="7" t="s">
        <v>696</v>
      </c>
      <c r="M33" s="10" t="s">
        <v>90</v>
      </c>
      <c r="N33" s="7" t="s">
        <v>91</v>
      </c>
      <c r="O33" s="7" t="s">
        <v>697</v>
      </c>
      <c r="P33" s="7" t="s">
        <v>698</v>
      </c>
      <c r="Q33" s="7" t="s">
        <v>699</v>
      </c>
      <c r="R33" s="14" t="s">
        <v>370</v>
      </c>
      <c r="S33" s="14" t="s">
        <v>99</v>
      </c>
      <c r="T33" s="14" t="s">
        <v>99</v>
      </c>
      <c r="U33" s="14" t="s">
        <v>99</v>
      </c>
      <c r="V33" s="14" t="s">
        <v>99</v>
      </c>
      <c r="W33" s="14" t="s">
        <v>99</v>
      </c>
    </row>
    <row r="34" ht="76" customHeight="1" spans="1:23" s="7" customFormat="1" x14ac:dyDescent="0.25">
      <c r="A34" s="7">
        <v>33</v>
      </c>
      <c r="B34" s="8" t="s">
        <v>700</v>
      </c>
      <c r="C34" s="7" t="s">
        <v>80</v>
      </c>
      <c r="D34" s="7" t="s">
        <v>701</v>
      </c>
      <c r="E34" s="7" t="s">
        <v>702</v>
      </c>
      <c r="F34" s="7" t="s">
        <v>703</v>
      </c>
      <c r="G34" s="7" t="s">
        <v>704</v>
      </c>
      <c r="H34" s="7" t="s">
        <v>705</v>
      </c>
      <c r="I34" s="7" t="s">
        <v>706</v>
      </c>
      <c r="J34" s="7" t="s">
        <v>707</v>
      </c>
      <c r="K34" s="7" t="s">
        <v>708</v>
      </c>
      <c r="L34" s="7" t="s">
        <v>709</v>
      </c>
      <c r="M34" s="10" t="s">
        <v>90</v>
      </c>
      <c r="N34" s="7" t="s">
        <v>91</v>
      </c>
      <c r="O34" s="7" t="s">
        <v>710</v>
      </c>
      <c r="P34" s="7" t="s">
        <v>711</v>
      </c>
      <c r="Q34" s="7" t="s">
        <v>712</v>
      </c>
      <c r="R34" s="14" t="s">
        <v>370</v>
      </c>
      <c r="S34" s="14" t="s">
        <v>99</v>
      </c>
      <c r="T34" s="14" t="s">
        <v>99</v>
      </c>
      <c r="U34" s="14" t="s">
        <v>99</v>
      </c>
      <c r="V34" s="14" t="s">
        <v>99</v>
      </c>
      <c r="W34" s="14" t="s">
        <v>99</v>
      </c>
    </row>
    <row r="35" ht="76" customHeight="1" spans="1:23" s="7" customFormat="1" x14ac:dyDescent="0.25">
      <c r="A35" s="7">
        <v>34</v>
      </c>
      <c r="B35" s="8" t="s">
        <v>713</v>
      </c>
      <c r="C35" s="7" t="s">
        <v>80</v>
      </c>
      <c r="D35" s="7" t="s">
        <v>714</v>
      </c>
      <c r="E35" s="7" t="s">
        <v>715</v>
      </c>
      <c r="F35" s="7" t="s">
        <v>716</v>
      </c>
      <c r="G35" s="7" t="s">
        <v>717</v>
      </c>
      <c r="H35" s="7" t="s">
        <v>718</v>
      </c>
      <c r="I35" s="7" t="s">
        <v>719</v>
      </c>
      <c r="J35" s="7" t="s">
        <v>720</v>
      </c>
      <c r="K35" s="7" t="s">
        <v>721</v>
      </c>
      <c r="L35" s="7" t="s">
        <v>722</v>
      </c>
      <c r="M35" s="16" t="s">
        <v>723</v>
      </c>
      <c r="N35" s="11" t="s">
        <v>158</v>
      </c>
      <c r="O35" s="7" t="s">
        <v>724</v>
      </c>
      <c r="P35" s="7" t="s">
        <v>725</v>
      </c>
      <c r="Q35" s="7" t="s">
        <v>726</v>
      </c>
      <c r="R35" s="14" t="s">
        <v>370</v>
      </c>
      <c r="S35" s="14" t="s">
        <v>99</v>
      </c>
      <c r="T35" s="14" t="s">
        <v>99</v>
      </c>
      <c r="U35" s="14" t="s">
        <v>99</v>
      </c>
      <c r="V35" s="14" t="s">
        <v>99</v>
      </c>
      <c r="W35" s="14" t="s">
        <v>99</v>
      </c>
    </row>
  </sheetData>
  <dataValidations count="2">
    <dataValidation type="list" sqref="R10:R35">
      <formula1>"Not Run,Pass,Fail,Blocked,Not Applicable"</formula1>
    </dataValidation>
    <dataValidation type="list" sqref="R2:R35">
      <formula1>"Not Run,Pass,Fail,Blocked,Not Applicable"</formula1>
    </dataValidation>
  </dataValidations>
  <pageMargins left="0.25" right="0.25" top="0.5" bottom="0.5" header="0.2" footer="0.2"/>
  <pageSetup paperSize="9" orientation="landscape" fitToWidth="1" fitToHeight="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pageSetUpPr fitToPage="1"/>
  </sheetPr>
  <dimension ref="A1:D54"/>
  <sheetViews>
    <sheetView workbookViewId="0" showGridLines="0">
      <pane ySplit="4" topLeftCell="A5" activePane="bottomLeft" state="frozen"/>
      <selection pane="bottomLeft"/>
    </sheetView>
  </sheetViews>
  <sheetFormatPr defaultRowHeight="15" outlineLevelRow="0" outlineLevelCol="0" x14ac:dyDescent="55"/>
  <cols>
    <col min="1" max="1" width="24" customWidth="1"/>
    <col min="2" max="2" width="38" customWidth="1"/>
    <col min="3" max="3" width="14" customWidth="1"/>
    <col min="4" max="4" width="72" customWidth="1"/>
  </cols>
  <sheetData>
    <row r="1" ht="32" customHeight="1" spans="1:4" x14ac:dyDescent="0.25">
      <c r="A1" s="17" t="s">
        <v>727</v>
      </c>
      <c r="B1" s="17"/>
      <c r="C1" s="17"/>
      <c r="D1" s="17"/>
    </row>
    <row r="2" spans="1:4" x14ac:dyDescent="0.25">
      <c r="A2" s="18" t="s">
        <v>728</v>
      </c>
      <c r="B2" s="18"/>
      <c r="C2" s="18"/>
      <c r="D2" s="18"/>
    </row>
    <row r="3" spans="1:4" x14ac:dyDescent="0.25"/>
    <row r="4" ht="30" customHeight="1" spans="1:4" s="19" customFormat="1" x14ac:dyDescent="0.25">
      <c r="A4" s="19" t="s">
        <v>729</v>
      </c>
      <c r="B4" s="19" t="s">
        <v>730</v>
      </c>
      <c r="C4" s="19" t="s">
        <v>731</v>
      </c>
      <c r="D4" s="19" t="s">
        <v>732</v>
      </c>
    </row>
    <row r="5" ht="27" customHeight="1" spans="1:4" s="20" customFormat="1" x14ac:dyDescent="0.25">
      <c r="A5" s="21" t="s">
        <v>733</v>
      </c>
      <c r="B5" s="22" t="s">
        <v>734</v>
      </c>
      <c r="C5" s="23">
        <f>ROWS(AgentsAutomatedCases[Test Case ID])</f>
        <v>30</v>
      </c>
      <c r="D5" s="22" t="s">
        <v>735</v>
      </c>
    </row>
    <row r="6" ht="27" customHeight="1" spans="1:4" s="20" customFormat="1" x14ac:dyDescent="0.25">
      <c r="A6" s="21" t="s">
        <v>733</v>
      </c>
      <c r="B6" s="22" t="s">
        <v>736</v>
      </c>
      <c r="C6" s="23">
        <f>ROWS(AgentsManualUiUxCases[Test Case ID])</f>
        <v>34</v>
      </c>
      <c r="D6" s="22" t="s">
        <v>737</v>
      </c>
    </row>
    <row r="7" ht="27" customHeight="1" spans="1:4" s="20" customFormat="1" x14ac:dyDescent="0.25">
      <c r="A7" s="21" t="s">
        <v>733</v>
      </c>
      <c r="B7" s="22" t="s">
        <v>738</v>
      </c>
      <c r="C7" s="23">
        <f>ROWS(AgentsAutomatedCases[Test Case ID])+ROWS(AgentsManualUiUxCases[Test Case ID])</f>
        <v>64</v>
      </c>
      <c r="D7" s="22" t="s">
        <v>739</v>
      </c>
    </row>
    <row r="8" ht="27" customHeight="1" spans="1:4" s="20" customFormat="1" x14ac:dyDescent="0.25">
      <c r="A8" s="21" t="s">
        <v>740</v>
      </c>
      <c r="B8" s="22" t="s">
        <v>741</v>
      </c>
      <c r="C8" s="23">
        <f>COUNTIF(AgentsAutomatedCases[Write Operation],"YES")</f>
        <v>3</v>
      </c>
      <c r="D8" s="22" t="s">
        <v>742</v>
      </c>
    </row>
    <row r="9" ht="27" customHeight="1" spans="1:4" s="20" customFormat="1" x14ac:dyDescent="0.25">
      <c r="A9" s="21" t="s">
        <v>20</v>
      </c>
      <c r="B9" s="22" t="s">
        <v>370</v>
      </c>
      <c r="C9" s="23">
        <f>COUNTIF(AgentsManualUiUxCases[Status],"Not Run")</f>
        <v>34</v>
      </c>
      <c r="D9" s="22" t="s">
        <v>743</v>
      </c>
    </row>
    <row r="10" ht="27" customHeight="1" spans="1:4" s="20" customFormat="1" x14ac:dyDescent="0.25">
      <c r="A10" s="21" t="s">
        <v>20</v>
      </c>
      <c r="B10" s="22" t="s">
        <v>744</v>
      </c>
      <c r="C10" s="23">
        <f>COUNTIF(AgentsManualUiUxCases[Status],"Pass")</f>
        <v>0</v>
      </c>
      <c r="D10" s="22" t="s">
        <v>745</v>
      </c>
    </row>
    <row r="11" ht="27" customHeight="1" spans="1:4" s="20" customFormat="1" x14ac:dyDescent="0.25">
      <c r="A11" s="21" t="s">
        <v>20</v>
      </c>
      <c r="B11" s="22" t="s">
        <v>746</v>
      </c>
      <c r="C11" s="23">
        <f>COUNTIF(AgentsManualUiUxCases[Status],"Fail")</f>
        <v>0</v>
      </c>
      <c r="D11" s="22" t="s">
        <v>747</v>
      </c>
    </row>
    <row r="12" ht="27" customHeight="1" spans="1:4" s="20" customFormat="1" x14ac:dyDescent="0.25">
      <c r="A12" s="21" t="s">
        <v>71</v>
      </c>
      <c r="B12" s="22" t="s">
        <v>723</v>
      </c>
      <c r="C12" s="23">
        <f>COUNTIF(AgentsAutomatedCases[Priority],"P0")+COUNTIF(AgentsManualUiUxCases[Priority],"P0")</f>
        <v>1</v>
      </c>
      <c r="D12" s="22" t="s">
        <v>748</v>
      </c>
    </row>
    <row r="13" ht="27" customHeight="1" spans="1:4" s="20" customFormat="1" x14ac:dyDescent="0.25">
      <c r="A13" s="21" t="s">
        <v>71</v>
      </c>
      <c r="B13" s="22" t="s">
        <v>90</v>
      </c>
      <c r="C13" s="23">
        <f>COUNTIF(AgentsAutomatedCases[Priority],"P1")+COUNTIF(AgentsManualUiUxCases[Priority],"P1")</f>
        <v>57</v>
      </c>
      <c r="D13" s="22" t="s">
        <v>749</v>
      </c>
    </row>
    <row r="14" ht="27" customHeight="1" spans="1:4" s="20" customFormat="1" x14ac:dyDescent="0.25">
      <c r="A14" s="21" t="s">
        <v>71</v>
      </c>
      <c r="B14" s="22" t="s">
        <v>380</v>
      </c>
      <c r="C14" s="23">
        <f>COUNTIF(AgentsAutomatedCases[Priority],"P2")+COUNTIF(AgentsManualUiUxCases[Priority],"P2")</f>
        <v>6</v>
      </c>
      <c r="D14" s="22" t="s">
        <v>750</v>
      </c>
    </row>
    <row r="15" ht="27" customHeight="1" spans="1:4" s="20" customFormat="1" x14ac:dyDescent="0.25">
      <c r="A15" s="21" t="s">
        <v>72</v>
      </c>
      <c r="B15" s="22" t="s">
        <v>158</v>
      </c>
      <c r="C15" s="23">
        <f>COUNTIF(AgentsAutomatedCases[Severity],"Critical")+COUNTIF(AgentsManualUiUxCases[Severity],"Critical")</f>
        <v>19</v>
      </c>
      <c r="D15" s="22" t="s">
        <v>751</v>
      </c>
    </row>
    <row r="16" ht="27" customHeight="1" spans="1:4" s="20" customFormat="1" x14ac:dyDescent="0.25">
      <c r="A16" s="21" t="s">
        <v>72</v>
      </c>
      <c r="B16" s="22" t="s">
        <v>91</v>
      </c>
      <c r="C16" s="23">
        <f>COUNTIF(AgentsAutomatedCases[Severity],"Major")+COUNTIF(AgentsManualUiUxCases[Severity],"Major")</f>
        <v>34</v>
      </c>
      <c r="D16" s="22" t="s">
        <v>752</v>
      </c>
    </row>
    <row r="17" ht="27" customHeight="1" spans="1:4" s="20" customFormat="1" x14ac:dyDescent="0.25">
      <c r="A17" s="21" t="s">
        <v>72</v>
      </c>
      <c r="B17" s="22" t="s">
        <v>366</v>
      </c>
      <c r="C17" s="23">
        <f>COUNTIF(AgentsAutomatedCases[Severity],"Minor")+COUNTIF(AgentsManualUiUxCases[Severity],"Minor")</f>
        <v>11</v>
      </c>
      <c r="D17" s="22" t="s">
        <v>753</v>
      </c>
    </row>
    <row r="18" ht="27" customHeight="1" spans="1:4" s="20" customFormat="1" x14ac:dyDescent="0.25">
      <c r="A18" s="21" t="s">
        <v>754</v>
      </c>
      <c r="B18" s="22" t="s">
        <v>88</v>
      </c>
      <c r="C18" s="23">
        <f>COUNTIF(AgentsAutomatedCases[Execution Tags],"*@functional*")+COUNTIF(AgentsManualUiUxCases[Execution Tags],"*@functional*")</f>
        <v>30</v>
      </c>
      <c r="D18" s="22" t="s">
        <v>755</v>
      </c>
    </row>
    <row r="19" ht="27" customHeight="1" spans="1:4" s="20" customFormat="1" x14ac:dyDescent="0.25">
      <c r="A19" s="21" t="s">
        <v>754</v>
      </c>
      <c r="B19" s="22" t="s">
        <v>756</v>
      </c>
      <c r="C19" s="23">
        <f>COUNTIF(AgentsAutomatedCases[Execution Tags],"*@non-functional*")+COUNTIF(AgentsManualUiUxCases[Execution Tags],"*@non-functional*")</f>
        <v>40</v>
      </c>
      <c r="D19" s="22" t="s">
        <v>757</v>
      </c>
    </row>
    <row r="20" ht="27" customHeight="1" spans="1:4" s="20" customFormat="1" x14ac:dyDescent="0.25">
      <c r="A20" s="21" t="s">
        <v>754</v>
      </c>
      <c r="B20" s="22" t="s">
        <v>758</v>
      </c>
      <c r="C20" s="23">
        <f>COUNTIF(AgentsAutomatedCases[Execution Tags],"*@smoke*")+COUNTIF(AgentsManualUiUxCases[Execution Tags],"*@smoke*")</f>
        <v>1</v>
      </c>
      <c r="D20" s="22" t="s">
        <v>759</v>
      </c>
    </row>
    <row r="21" ht="27" customHeight="1" spans="1:4" s="20" customFormat="1" x14ac:dyDescent="0.25">
      <c r="A21" s="21" t="s">
        <v>754</v>
      </c>
      <c r="B21" s="22" t="s">
        <v>760</v>
      </c>
      <c r="C21" s="23">
        <f>COUNTIF(AgentsAutomatedCases[Execution Tags],"*@prod-smoke*")+COUNTIF(AgentsManualUiUxCases[Execution Tags],"*@prod-smoke*")</f>
        <v>1</v>
      </c>
      <c r="D21" s="22" t="s">
        <v>761</v>
      </c>
    </row>
    <row r="22" ht="27" customHeight="1" spans="1:4" s="20" customFormat="1" x14ac:dyDescent="0.25">
      <c r="A22" s="21" t="s">
        <v>754</v>
      </c>
      <c r="B22" s="22" t="s">
        <v>762</v>
      </c>
      <c r="C22" s="23">
        <f>COUNTIF(AgentsAutomatedCases[Execution Tags],"*@sanity*")+COUNTIF(AgentsManualUiUxCases[Execution Tags],"*@sanity*")</f>
        <v>4</v>
      </c>
      <c r="D22" s="22" t="s">
        <v>763</v>
      </c>
    </row>
    <row r="23" ht="27" customHeight="1" spans="1:4" s="20" customFormat="1" x14ac:dyDescent="0.25">
      <c r="A23" s="21" t="s">
        <v>754</v>
      </c>
      <c r="B23" s="22" t="s">
        <v>764</v>
      </c>
      <c r="C23" s="23">
        <f>COUNTIF(AgentsAutomatedCases[Execution Tags],"*@regression*")+COUNTIF(AgentsManualUiUxCases[Execution Tags],"*@regression*")</f>
        <v>64</v>
      </c>
      <c r="D23" s="22" t="s">
        <v>765</v>
      </c>
    </row>
    <row r="24" ht="27" customHeight="1" spans="1:4" s="20" customFormat="1" x14ac:dyDescent="0.25">
      <c r="A24" s="21" t="s">
        <v>754</v>
      </c>
      <c r="B24" s="22" t="s">
        <v>766</v>
      </c>
      <c r="C24" s="23">
        <f>COUNTIF(AgentsAutomatedCases[Execution Tags],"*@e2e*")+COUNTIF(AgentsManualUiUxCases[Execution Tags],"*@e2e*")</f>
        <v>7</v>
      </c>
      <c r="D24" s="22" t="s">
        <v>767</v>
      </c>
    </row>
    <row r="25" ht="27" customHeight="1" spans="1:4" s="20" customFormat="1" x14ac:dyDescent="0.25">
      <c r="A25" s="21" t="s">
        <v>754</v>
      </c>
      <c r="B25" s="22" t="s">
        <v>768</v>
      </c>
      <c r="C25" s="23">
        <f>COUNTIF(AgentsAutomatedCases[Execution Tags],"*@integration*")+COUNTIF(AgentsManualUiUxCases[Execution Tags],"*@integration*")</f>
        <v>5</v>
      </c>
      <c r="D25" s="22" t="s">
        <v>769</v>
      </c>
    </row>
    <row r="26" ht="27" customHeight="1" spans="1:4" s="20" customFormat="1" x14ac:dyDescent="0.25">
      <c r="A26" s="21" t="s">
        <v>754</v>
      </c>
      <c r="B26" s="22" t="s">
        <v>235</v>
      </c>
      <c r="C26" s="23">
        <f>COUNTIF(AgentsAutomatedCases[Execution Tags],"*@security*")+COUNTIF(AgentsManualUiUxCases[Execution Tags],"*@security*")</f>
        <v>7</v>
      </c>
      <c r="D26" s="22" t="s">
        <v>770</v>
      </c>
    </row>
    <row r="27" ht="27" customHeight="1" spans="1:4" s="20" customFormat="1" x14ac:dyDescent="0.25">
      <c r="A27" s="21" t="s">
        <v>754</v>
      </c>
      <c r="B27" s="22" t="s">
        <v>433</v>
      </c>
      <c r="C27" s="23">
        <f>COUNTIF(AgentsAutomatedCases[Execution Tags],"*@a11y*")+COUNTIF(AgentsManualUiUxCases[Execution Tags],"*@a11y*")</f>
        <v>20</v>
      </c>
      <c r="D27" s="22" t="s">
        <v>771</v>
      </c>
    </row>
    <row r="28" ht="27" customHeight="1" spans="1:4" s="20" customFormat="1" x14ac:dyDescent="0.25">
      <c r="A28" s="21" t="s">
        <v>754</v>
      </c>
      <c r="B28" s="22" t="s">
        <v>772</v>
      </c>
      <c r="C28" s="23">
        <f>COUNTIF(AgentsAutomatedCases[Execution Tags],"*@responsive*")+COUNTIF(AgentsManualUiUxCases[Execution Tags],"*@responsive*")</f>
        <v>9</v>
      </c>
      <c r="D28" s="22" t="s">
        <v>773</v>
      </c>
    </row>
    <row r="29" ht="27" customHeight="1" spans="1:4" s="20" customFormat="1" x14ac:dyDescent="0.25">
      <c r="A29" s="21" t="s">
        <v>754</v>
      </c>
      <c r="B29" s="22" t="s">
        <v>774</v>
      </c>
      <c r="C29" s="23">
        <f>COUNTIF(AgentsAutomatedCases[Execution Tags],"*@visual-regression*")+COUNTIF(AgentsManualUiUxCases[Execution Tags],"*@visual-regression*")</f>
        <v>1</v>
      </c>
      <c r="D29" s="22" t="s">
        <v>775</v>
      </c>
    </row>
    <row r="30" ht="27" customHeight="1" spans="1:4" s="20" customFormat="1" x14ac:dyDescent="0.25">
      <c r="A30" s="21" t="s">
        <v>754</v>
      </c>
      <c r="B30" s="22" t="s">
        <v>682</v>
      </c>
      <c r="C30" s="23">
        <f>COUNTIF(AgentsAutomatedCases[Execution Tags],"*@performance*")+COUNTIF(AgentsManualUiUxCases[Execution Tags],"*@performance*")</f>
        <v>1</v>
      </c>
      <c r="D30" s="22" t="s">
        <v>776</v>
      </c>
    </row>
    <row r="31" ht="27" customHeight="1" spans="1:4" s="20" customFormat="1" x14ac:dyDescent="0.25">
      <c r="A31" s="21" t="s">
        <v>754</v>
      </c>
      <c r="B31" s="22" t="s">
        <v>708</v>
      </c>
      <c r="C31" s="23">
        <f>COUNTIF(AgentsAutomatedCases[Execution Tags],"*@localization*")+COUNTIF(AgentsManualUiUxCases[Execution Tags],"*@localization*")</f>
        <v>1</v>
      </c>
      <c r="D31" s="22" t="s">
        <v>777</v>
      </c>
    </row>
    <row r="32" ht="27" customHeight="1" spans="1:4" s="20" customFormat="1" x14ac:dyDescent="0.25">
      <c r="A32" s="21" t="s">
        <v>754</v>
      </c>
      <c r="B32" s="22" t="s">
        <v>721</v>
      </c>
      <c r="C32" s="23">
        <f>COUNTIF(AgentsAutomatedCases[Execution Tags],"*@exploratory*")+COUNTIF(AgentsManualUiUxCases[Execution Tags],"*@exploratory*")</f>
        <v>1</v>
      </c>
      <c r="D32" s="22" t="s">
        <v>778</v>
      </c>
    </row>
    <row r="33" ht="27" customHeight="1" spans="1:4" s="20" customFormat="1" x14ac:dyDescent="0.25">
      <c r="A33" s="21" t="s">
        <v>754</v>
      </c>
      <c r="B33" s="22" t="s">
        <v>779</v>
      </c>
      <c r="C33" s="23">
        <f>COUNTIF(AgentsAutomatedCases[Execution Tags],"*@uat*")+COUNTIF(AgentsManualUiUxCases[Execution Tags],"*@uat*")</f>
        <v>6</v>
      </c>
      <c r="D33" s="22" t="s">
        <v>780</v>
      </c>
    </row>
    <row r="34" ht="27" customHeight="1" spans="1:4" s="20" customFormat="1" x14ac:dyDescent="0.25">
      <c r="A34" s="21" t="s">
        <v>754</v>
      </c>
      <c r="B34" s="22" t="s">
        <v>38</v>
      </c>
      <c r="C34" s="23">
        <f>COUNTIF(AgentsAutomatedCases[Execution Tags],"*@retest*")+COUNTIF(AgentsManualUiUxCases[Execution Tags],"*@retest*")</f>
        <v>0</v>
      </c>
      <c r="D34" s="22" t="s">
        <v>781</v>
      </c>
    </row>
    <row r="35" ht="27" customHeight="1" spans="1:4" s="20" customFormat="1" x14ac:dyDescent="0.25">
      <c r="A35" s="21" t="s">
        <v>782</v>
      </c>
      <c r="B35" s="22" t="s">
        <v>433</v>
      </c>
      <c r="C35" s="23">
        <f>COUNTIF(AgentsManualUiUxCases[UX Category],"Accessibility")</f>
        <v>4</v>
      </c>
      <c r="D35" s="22" t="s">
        <v>783</v>
      </c>
    </row>
    <row r="36" ht="27" customHeight="1" spans="1:4" s="20" customFormat="1" x14ac:dyDescent="0.25">
      <c r="A36" s="21" t="s">
        <v>782</v>
      </c>
      <c r="B36" s="22" t="s">
        <v>390</v>
      </c>
      <c r="C36" s="23">
        <f>COUNTIF(AgentsManualUiUxCases[UX Category],"Content resilience")</f>
        <v>1</v>
      </c>
      <c r="D36" s="22" t="s">
        <v>784</v>
      </c>
    </row>
    <row r="37" ht="27" customHeight="1" spans="1:4" s="20" customFormat="1" x14ac:dyDescent="0.25">
      <c r="A37" s="21" t="s">
        <v>782</v>
      </c>
      <c r="B37" s="22" t="s">
        <v>633</v>
      </c>
      <c r="C37" s="23">
        <f>COUNTIF(AgentsManualUiUxCases[UX Category],"Destructive-action UX")</f>
        <v>1</v>
      </c>
      <c r="D37" s="22" t="s">
        <v>785</v>
      </c>
    </row>
    <row r="38" ht="27" customHeight="1" spans="1:4" s="20" customFormat="1" x14ac:dyDescent="0.25">
      <c r="A38" s="21" t="s">
        <v>782</v>
      </c>
      <c r="B38" s="22" t="s">
        <v>455</v>
      </c>
      <c r="C38" s="23">
        <f>COUNTIF(AgentsManualUiUxCases[UX Category],"Empty-state UX")</f>
        <v>2</v>
      </c>
      <c r="D38" s="22" t="s">
        <v>786</v>
      </c>
    </row>
    <row r="39" ht="27" customHeight="1" spans="1:4" s="20" customFormat="1" x14ac:dyDescent="0.25">
      <c r="A39" s="21" t="s">
        <v>782</v>
      </c>
      <c r="B39" s="22" t="s">
        <v>477</v>
      </c>
      <c r="C39" s="23">
        <f>COUNTIF(AgentsManualUiUxCases[UX Category],"Error-state UX")</f>
        <v>1</v>
      </c>
      <c r="D39" s="22" t="s">
        <v>787</v>
      </c>
    </row>
    <row r="40" ht="27" customHeight="1" spans="1:4" s="20" customFormat="1" x14ac:dyDescent="0.25">
      <c r="A40" s="21" t="s">
        <v>782</v>
      </c>
      <c r="B40" s="22" t="s">
        <v>721</v>
      </c>
      <c r="C40" s="23">
        <f>COUNTIF(AgentsManualUiUxCases[UX Category],"Exploratory")</f>
        <v>1</v>
      </c>
      <c r="D40" s="22" t="s">
        <v>788</v>
      </c>
    </row>
    <row r="41" ht="27" customHeight="1" spans="1:4" s="20" customFormat="1" x14ac:dyDescent="0.25">
      <c r="A41" s="21" t="s">
        <v>782</v>
      </c>
      <c r="B41" s="22" t="s">
        <v>539</v>
      </c>
      <c r="C41" s="23">
        <f>COUNTIF(AgentsManualUiUxCases[UX Category],"Feedback and state handling")</f>
        <v>2</v>
      </c>
      <c r="D41" s="22" t="s">
        <v>789</v>
      </c>
    </row>
    <row r="42" ht="27" customHeight="1" spans="1:4" s="20" customFormat="1" x14ac:dyDescent="0.25">
      <c r="A42" s="21" t="s">
        <v>782</v>
      </c>
      <c r="B42" s="22" t="s">
        <v>519</v>
      </c>
      <c r="C42" s="23">
        <f>COUNTIF(AgentsManualUiUxCases[UX Category],"Form usability")</f>
        <v>1</v>
      </c>
      <c r="D42" s="22" t="s">
        <v>790</v>
      </c>
    </row>
    <row r="43" ht="27" customHeight="1" spans="1:4" s="20" customFormat="1" x14ac:dyDescent="0.25">
      <c r="A43" s="21" t="s">
        <v>782</v>
      </c>
      <c r="B43" s="22" t="s">
        <v>708</v>
      </c>
      <c r="C43" s="23">
        <f>COUNTIF(AgentsManualUiUxCases[UX Category],"Localization")</f>
        <v>1</v>
      </c>
      <c r="D43" s="22" t="s">
        <v>791</v>
      </c>
    </row>
    <row r="44" ht="27" customHeight="1" spans="1:4" s="20" customFormat="1" x14ac:dyDescent="0.25">
      <c r="A44" s="21" t="s">
        <v>782</v>
      </c>
      <c r="B44" s="22" t="s">
        <v>682</v>
      </c>
      <c r="C44" s="23">
        <f>COUNTIF(AgentsManualUiUxCases[UX Category],"Performance")</f>
        <v>1</v>
      </c>
      <c r="D44" s="22" t="s">
        <v>792</v>
      </c>
    </row>
    <row r="45" ht="27" customHeight="1" spans="1:4" s="20" customFormat="1" x14ac:dyDescent="0.25">
      <c r="A45" s="21" t="s">
        <v>782</v>
      </c>
      <c r="B45" s="22" t="s">
        <v>610</v>
      </c>
      <c r="C45" s="23">
        <f>COUNTIF(AgentsManualUiUxCases[UX Category],"Permission UX")</f>
        <v>1</v>
      </c>
      <c r="D45" s="22" t="s">
        <v>793</v>
      </c>
    </row>
    <row r="46" ht="27" customHeight="1" spans="1:4" s="20" customFormat="1" x14ac:dyDescent="0.25">
      <c r="A46" s="21" t="s">
        <v>782</v>
      </c>
      <c r="B46" s="22" t="s">
        <v>671</v>
      </c>
      <c r="C46" s="23">
        <f>COUNTIF(AgentsManualUiUxCases[UX Category],"Responsive accessibility")</f>
        <v>1</v>
      </c>
      <c r="D46" s="22" t="s">
        <v>794</v>
      </c>
    </row>
    <row r="47" ht="27" customHeight="1" spans="1:4" s="20" customFormat="1" x14ac:dyDescent="0.25">
      <c r="A47" s="21" t="s">
        <v>782</v>
      </c>
      <c r="B47" s="22" t="s">
        <v>499</v>
      </c>
      <c r="C47" s="23">
        <f>COUNTIF(AgentsManualUiUxCases[UX Category],"Responsive usability")</f>
        <v>1</v>
      </c>
      <c r="D47" s="22" t="s">
        <v>795</v>
      </c>
    </row>
    <row r="48" ht="27" customHeight="1" spans="1:4" s="20" customFormat="1" x14ac:dyDescent="0.25">
      <c r="A48" s="21" t="s">
        <v>782</v>
      </c>
      <c r="B48" s="22" t="s">
        <v>444</v>
      </c>
      <c r="C48" s="23">
        <f>COUNTIF(AgentsManualUiUxCases[UX Category],"State handling")</f>
        <v>2</v>
      </c>
      <c r="D48" s="22" t="s">
        <v>796</v>
      </c>
    </row>
    <row r="49" ht="27" customHeight="1" spans="1:4" s="20" customFormat="1" x14ac:dyDescent="0.25">
      <c r="A49" s="21" t="s">
        <v>782</v>
      </c>
      <c r="B49" s="22" t="s">
        <v>600</v>
      </c>
      <c r="C49" s="23">
        <f>COUNTIF(AgentsManualUiUxCases[UX Category],"Upload usability")</f>
        <v>1</v>
      </c>
      <c r="D49" s="22" t="s">
        <v>797</v>
      </c>
    </row>
    <row r="50" ht="27" customHeight="1" spans="1:4" s="20" customFormat="1" x14ac:dyDescent="0.25">
      <c r="A50" s="21" t="s">
        <v>782</v>
      </c>
      <c r="B50" s="22" t="s">
        <v>403</v>
      </c>
      <c r="C50" s="23">
        <f>COUNTIF(AgentsManualUiUxCases[UX Category],"Usability")</f>
        <v>6</v>
      </c>
      <c r="D50" s="22" t="s">
        <v>798</v>
      </c>
    </row>
    <row r="51" ht="27" customHeight="1" spans="1:4" s="20" customFormat="1" x14ac:dyDescent="0.25">
      <c r="A51" s="21" t="s">
        <v>782</v>
      </c>
      <c r="B51" s="22" t="s">
        <v>550</v>
      </c>
      <c r="C51" s="23">
        <f>COUNTIF(AgentsManualUiUxCases[UX Category],"Validation UX")</f>
        <v>1</v>
      </c>
      <c r="D51" s="22" t="s">
        <v>799</v>
      </c>
    </row>
    <row r="52" ht="27" customHeight="1" spans="1:4" s="20" customFormat="1" x14ac:dyDescent="0.25">
      <c r="A52" s="21" t="s">
        <v>782</v>
      </c>
      <c r="B52" s="22" t="s">
        <v>364</v>
      </c>
      <c r="C52" s="23">
        <f>COUNTIF(AgentsManualUiUxCases[UX Category],"Visual consistency")</f>
        <v>3</v>
      </c>
      <c r="D52" s="22" t="s">
        <v>800</v>
      </c>
    </row>
    <row r="53" ht="27" customHeight="1" spans="1:4" s="20" customFormat="1" x14ac:dyDescent="0.25">
      <c r="A53" s="21" t="s">
        <v>782</v>
      </c>
      <c r="B53" s="22" t="s">
        <v>695</v>
      </c>
      <c r="C53" s="23">
        <f>COUNTIF(AgentsManualUiUxCases[UX Category],"Visual regression")</f>
        <v>1</v>
      </c>
      <c r="D53" s="22" t="s">
        <v>801</v>
      </c>
    </row>
    <row r="54" ht="27" customHeight="1" spans="1:4" s="20" customFormat="1" x14ac:dyDescent="0.25">
      <c r="A54" s="21" t="s">
        <v>782</v>
      </c>
      <c r="B54" s="22" t="s">
        <v>488</v>
      </c>
      <c r="C54" s="23">
        <f>COUNTIF(AgentsManualUiUxCases[UX Category],"Wizard usability")</f>
        <v>2</v>
      </c>
      <c r="D54" s="22" t="s">
        <v>802</v>
      </c>
    </row>
  </sheetData>
  <autoFilter ref="A4:D54"/>
  <mergeCells count="2">
    <mergeCell ref="A1:D1"/>
    <mergeCell ref="A2:D2"/>
  </mergeCells>
  <pageMargins left="0.25" right="0.25" top="0.5" bottom="0.5" header="0.2" footer="0.2"/>
  <pageSetup paperSize="9"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B78"/>
    <pageSetUpPr fitToPage="1"/>
  </sheetPr>
  <dimension ref="A1:F23"/>
  <sheetViews>
    <sheetView workbookViewId="0" showGridLines="0">
      <pane ySplit="1" topLeftCell="A2" activePane="bottomLeft" state="frozen"/>
      <selection pane="bottomLeft"/>
    </sheetView>
  </sheetViews>
  <sheetFormatPr defaultRowHeight="15" outlineLevelRow="0" outlineLevelCol="0" x14ac:dyDescent="55"/>
  <cols>
    <col min="1" max="1" width="27" customWidth="1"/>
    <col min="2" max="2" width="23" customWidth="1"/>
    <col min="3" max="3" width="25" customWidth="1"/>
    <col min="4" max="4" width="12" customWidth="1"/>
    <col min="5" max="5" width="78" customWidth="1"/>
    <col min="6" max="6" width="48" customWidth="1"/>
  </cols>
  <sheetData>
    <row r="1" ht="30" customHeight="1" spans="1:6" s="24" customFormat="1" x14ac:dyDescent="0.25">
      <c r="A1" s="24" t="s">
        <v>803</v>
      </c>
      <c r="B1" s="24" t="s">
        <v>804</v>
      </c>
      <c r="C1" s="24" t="s">
        <v>805</v>
      </c>
      <c r="D1" s="24" t="s">
        <v>806</v>
      </c>
      <c r="E1" s="24" t="s">
        <v>807</v>
      </c>
      <c r="F1" s="24" t="s">
        <v>808</v>
      </c>
    </row>
    <row r="2" ht="42" customHeight="1" spans="1:6" s="4" customFormat="1" x14ac:dyDescent="0.25">
      <c r="A2" s="8" t="s">
        <v>60</v>
      </c>
      <c r="B2" s="4" t="s">
        <v>29</v>
      </c>
      <c r="C2" s="4" t="s">
        <v>809</v>
      </c>
      <c r="D2" s="4" t="s">
        <v>810</v>
      </c>
      <c r="E2" s="4" t="s">
        <v>811</v>
      </c>
      <c r="F2" s="4" t="s">
        <v>812</v>
      </c>
    </row>
    <row r="3" ht="42" customHeight="1" spans="1:6" s="4" customFormat="1" x14ac:dyDescent="0.25">
      <c r="A3" s="8" t="s">
        <v>62</v>
      </c>
      <c r="B3" s="4" t="s">
        <v>29</v>
      </c>
      <c r="C3" s="4" t="s">
        <v>809</v>
      </c>
      <c r="D3" s="4" t="s">
        <v>810</v>
      </c>
      <c r="E3" s="4" t="s">
        <v>813</v>
      </c>
      <c r="F3" s="4" t="s">
        <v>814</v>
      </c>
    </row>
    <row r="4" ht="42" customHeight="1" spans="1:6" s="4" customFormat="1" x14ac:dyDescent="0.25">
      <c r="A4" s="8" t="s">
        <v>64</v>
      </c>
      <c r="B4" s="4" t="s">
        <v>29</v>
      </c>
      <c r="C4" s="4" t="s">
        <v>809</v>
      </c>
      <c r="D4" s="4" t="s">
        <v>810</v>
      </c>
      <c r="E4" s="4" t="s">
        <v>815</v>
      </c>
      <c r="F4" s="4" t="s">
        <v>816</v>
      </c>
    </row>
    <row r="5" ht="42" customHeight="1" spans="1:6" s="4" customFormat="1" x14ac:dyDescent="0.25">
      <c r="A5" s="8" t="s">
        <v>65</v>
      </c>
      <c r="B5" s="4" t="s">
        <v>29</v>
      </c>
      <c r="C5" s="4" t="s">
        <v>809</v>
      </c>
      <c r="D5" s="4" t="s">
        <v>810</v>
      </c>
      <c r="E5" s="4" t="s">
        <v>817</v>
      </c>
      <c r="F5" s="4" t="s">
        <v>818</v>
      </c>
    </row>
    <row r="6" ht="42" customHeight="1" spans="1:6" s="4" customFormat="1" x14ac:dyDescent="0.25">
      <c r="A6" s="8" t="s">
        <v>66</v>
      </c>
      <c r="B6" s="4" t="s">
        <v>29</v>
      </c>
      <c r="C6" s="4" t="s">
        <v>809</v>
      </c>
      <c r="D6" s="4" t="s">
        <v>810</v>
      </c>
      <c r="E6" s="4" t="s">
        <v>819</v>
      </c>
      <c r="F6" s="4" t="s">
        <v>820</v>
      </c>
    </row>
    <row r="7" ht="42" customHeight="1" spans="1:6" s="4" customFormat="1" x14ac:dyDescent="0.25">
      <c r="A7" s="8" t="s">
        <v>67</v>
      </c>
      <c r="B7" s="4" t="s">
        <v>14</v>
      </c>
      <c r="C7" s="4" t="s">
        <v>809</v>
      </c>
      <c r="D7" s="4" t="s">
        <v>810</v>
      </c>
      <c r="E7" s="4" t="s">
        <v>821</v>
      </c>
      <c r="F7" s="4" t="s">
        <v>822</v>
      </c>
    </row>
    <row r="8" ht="42" customHeight="1" spans="1:6" s="4" customFormat="1" x14ac:dyDescent="0.25">
      <c r="A8" s="8" t="s">
        <v>346</v>
      </c>
      <c r="B8" s="4" t="s">
        <v>823</v>
      </c>
      <c r="C8" s="4" t="s">
        <v>809</v>
      </c>
      <c r="D8" s="4" t="s">
        <v>810</v>
      </c>
      <c r="E8" s="4" t="s">
        <v>824</v>
      </c>
      <c r="F8" s="4" t="s">
        <v>825</v>
      </c>
    </row>
    <row r="9" ht="42" customHeight="1" spans="1:6" s="4" customFormat="1" x14ac:dyDescent="0.25">
      <c r="A9" s="8" t="s">
        <v>68</v>
      </c>
      <c r="B9" s="4" t="s">
        <v>29</v>
      </c>
      <c r="C9" s="4" t="s">
        <v>809</v>
      </c>
      <c r="D9" s="4" t="s">
        <v>810</v>
      </c>
      <c r="E9" s="4" t="s">
        <v>826</v>
      </c>
      <c r="F9" s="4" t="s">
        <v>827</v>
      </c>
    </row>
    <row r="10" ht="42" customHeight="1" spans="1:6" s="4" customFormat="1" x14ac:dyDescent="0.25">
      <c r="A10" s="8" t="s">
        <v>828</v>
      </c>
      <c r="B10" s="4" t="s">
        <v>29</v>
      </c>
      <c r="C10" s="4" t="s">
        <v>809</v>
      </c>
      <c r="D10" s="4" t="s">
        <v>810</v>
      </c>
      <c r="E10" s="4" t="s">
        <v>829</v>
      </c>
      <c r="F10" s="4" t="s">
        <v>433</v>
      </c>
    </row>
    <row r="11" ht="42" customHeight="1" spans="1:6" s="4" customFormat="1" x14ac:dyDescent="0.25">
      <c r="A11" s="8" t="s">
        <v>348</v>
      </c>
      <c r="B11" s="4" t="s">
        <v>823</v>
      </c>
      <c r="C11" s="4" t="s">
        <v>809</v>
      </c>
      <c r="D11" s="4" t="s">
        <v>810</v>
      </c>
      <c r="E11" s="4" t="s">
        <v>830</v>
      </c>
      <c r="F11" s="4" t="s">
        <v>831</v>
      </c>
    </row>
    <row r="12" ht="42" customHeight="1" spans="1:6" s="4" customFormat="1" x14ac:dyDescent="0.25">
      <c r="A12" s="8" t="s">
        <v>71</v>
      </c>
      <c r="B12" s="4" t="s">
        <v>29</v>
      </c>
      <c r="C12" s="4" t="s">
        <v>809</v>
      </c>
      <c r="D12" s="4" t="s">
        <v>810</v>
      </c>
      <c r="E12" s="4" t="s">
        <v>832</v>
      </c>
      <c r="F12" s="4" t="s">
        <v>90</v>
      </c>
    </row>
    <row r="13" ht="42" customHeight="1" spans="1:6" s="4" customFormat="1" x14ac:dyDescent="0.25">
      <c r="A13" s="8" t="s">
        <v>72</v>
      </c>
      <c r="B13" s="4" t="s">
        <v>29</v>
      </c>
      <c r="C13" s="4" t="s">
        <v>809</v>
      </c>
      <c r="D13" s="4" t="s">
        <v>810</v>
      </c>
      <c r="E13" s="4" t="s">
        <v>833</v>
      </c>
      <c r="F13" s="4" t="s">
        <v>91</v>
      </c>
    </row>
    <row r="14" ht="42" customHeight="1" spans="1:6" s="4" customFormat="1" x14ac:dyDescent="0.25">
      <c r="A14" s="8" t="s">
        <v>73</v>
      </c>
      <c r="B14" s="4" t="s">
        <v>14</v>
      </c>
      <c r="C14" s="4" t="s">
        <v>809</v>
      </c>
      <c r="D14" s="4" t="s">
        <v>810</v>
      </c>
      <c r="E14" s="4" t="s">
        <v>834</v>
      </c>
      <c r="F14" s="4" t="s">
        <v>92</v>
      </c>
    </row>
    <row r="15" ht="42" customHeight="1" spans="1:6" s="4" customFormat="1" x14ac:dyDescent="0.25">
      <c r="A15" s="8" t="s">
        <v>74</v>
      </c>
      <c r="B15" s="4" t="s">
        <v>14</v>
      </c>
      <c r="C15" s="4" t="s">
        <v>809</v>
      </c>
      <c r="D15" s="4" t="s">
        <v>810</v>
      </c>
      <c r="E15" s="4" t="s">
        <v>835</v>
      </c>
      <c r="F15" s="4" t="s">
        <v>248</v>
      </c>
    </row>
    <row r="16" ht="42" customHeight="1" spans="1:6" s="4" customFormat="1" x14ac:dyDescent="0.25">
      <c r="A16" s="8" t="s">
        <v>27</v>
      </c>
      <c r="B16" s="4" t="s">
        <v>29</v>
      </c>
      <c r="C16" s="4" t="s">
        <v>809</v>
      </c>
      <c r="D16" s="4" t="s">
        <v>810</v>
      </c>
      <c r="E16" s="4" t="s">
        <v>836</v>
      </c>
      <c r="F16" s="4" t="s">
        <v>837</v>
      </c>
    </row>
    <row r="17" ht="42" customHeight="1" spans="1:6" s="4" customFormat="1" x14ac:dyDescent="0.25">
      <c r="A17" s="8" t="s">
        <v>30</v>
      </c>
      <c r="B17" s="4" t="s">
        <v>29</v>
      </c>
      <c r="C17" s="4" t="s">
        <v>809</v>
      </c>
      <c r="D17" s="4" t="s">
        <v>810</v>
      </c>
      <c r="E17" s="4" t="s">
        <v>838</v>
      </c>
      <c r="F17" s="4" t="s">
        <v>839</v>
      </c>
    </row>
    <row r="18" ht="42" customHeight="1" spans="1:6" s="4" customFormat="1" x14ac:dyDescent="0.25">
      <c r="A18" s="8" t="s">
        <v>76</v>
      </c>
      <c r="B18" s="4" t="s">
        <v>14</v>
      </c>
      <c r="C18" s="4" t="s">
        <v>809</v>
      </c>
      <c r="D18" s="4" t="s">
        <v>810</v>
      </c>
      <c r="E18" s="4" t="s">
        <v>840</v>
      </c>
      <c r="F18" s="4" t="s">
        <v>841</v>
      </c>
    </row>
    <row r="19" ht="42" customHeight="1" spans="1:6" s="4" customFormat="1" x14ac:dyDescent="0.25">
      <c r="A19" s="8" t="s">
        <v>350</v>
      </c>
      <c r="B19" s="4" t="s">
        <v>823</v>
      </c>
      <c r="C19" s="4" t="s">
        <v>810</v>
      </c>
      <c r="D19" s="4" t="s">
        <v>810</v>
      </c>
      <c r="E19" s="4" t="s">
        <v>842</v>
      </c>
      <c r="F19" s="4" t="s">
        <v>843</v>
      </c>
    </row>
    <row r="20" ht="42" customHeight="1" spans="1:6" s="4" customFormat="1" x14ac:dyDescent="0.25">
      <c r="A20" s="8" t="s">
        <v>351</v>
      </c>
      <c r="B20" s="4" t="s">
        <v>823</v>
      </c>
      <c r="C20" s="4" t="s">
        <v>810</v>
      </c>
      <c r="D20" s="4" t="s">
        <v>844</v>
      </c>
      <c r="E20" s="4" t="s">
        <v>845</v>
      </c>
      <c r="F20" s="4" t="s">
        <v>846</v>
      </c>
    </row>
    <row r="21" ht="42" customHeight="1" spans="1:6" s="4" customFormat="1" x14ac:dyDescent="0.25">
      <c r="A21" s="8" t="s">
        <v>847</v>
      </c>
      <c r="B21" s="4" t="s">
        <v>823</v>
      </c>
      <c r="C21" s="4" t="s">
        <v>810</v>
      </c>
      <c r="D21" s="4" t="s">
        <v>844</v>
      </c>
      <c r="E21" s="4" t="s">
        <v>848</v>
      </c>
      <c r="F21" s="4" t="s">
        <v>849</v>
      </c>
    </row>
    <row r="22" ht="42" customHeight="1" spans="1:6" s="4" customFormat="1" x14ac:dyDescent="0.25">
      <c r="A22" s="8" t="s">
        <v>354</v>
      </c>
      <c r="B22" s="4" t="s">
        <v>823</v>
      </c>
      <c r="C22" s="4" t="s">
        <v>810</v>
      </c>
      <c r="D22" s="4" t="s">
        <v>850</v>
      </c>
      <c r="E22" s="4" t="s">
        <v>851</v>
      </c>
      <c r="F22" s="4" t="s">
        <v>852</v>
      </c>
    </row>
    <row r="23" ht="42" customHeight="1" spans="1:6" s="4" customFormat="1" x14ac:dyDescent="0.25">
      <c r="A23" s="8" t="s">
        <v>355</v>
      </c>
      <c r="B23" s="4" t="s">
        <v>823</v>
      </c>
      <c r="C23" s="4" t="s">
        <v>810</v>
      </c>
      <c r="D23" s="4" t="s">
        <v>809</v>
      </c>
      <c r="E23" s="4" t="s">
        <v>853</v>
      </c>
      <c r="F23" s="4" t="s">
        <v>854</v>
      </c>
    </row>
  </sheetData>
  <pageMargins left="0.25" right="0.25" top="0.5" bottom="0.5" header="0.2" footer="0.2"/>
  <pageSetup paperSize="9" orientation="landscape" fitToWidth="1" fitToHeight="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Automated Cases</vt:lpstr>
      <vt:lpstr>Manual UI UX Cases</vt:lpstr>
      <vt:lpstr>Coverage Summary</vt:lpstr>
      <vt:lpstr>Field Reference</vt:lpstr>
    </vt:vector>
  </TitlesOfParts>
  <Company>Ledgers</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Copilot Playwright</dc:creator>
  <dc:title>Agents UI/UX Test Cases</dc:title>
  <dc:subject>Human-readable automated and manual UI/UX coverage for June Agents</dc:subject>
  <dc:description>{"schemaVersion":1,"module":"Agents","generatedAt":"2026-09-23T12:59:47.185Z","automatedCount":30,"manualCount":34,"sourceHashes":{"scripts/create-ui-ux-test-suites.mjs":"90e73e8f83f39210b5b5e5e9512fa2d4d35fca9e9506a6fac49188e225ff738d","test-cases/suite-tag-registry.mjs":"ee3c2d26fd81bb555b15bb3a6e0b07d21e57c35c7a05720dafafe30b29ababc4","test-cases/ui-ux-manual/index.mjs":"09e77d1a6d16bb5af7d92e3349e0d498032821b5c68385e24ed252131e3d320d","test-cases/ui-ux-manual/account.mjs":"a2b8c12598e6bc2af100f51d26fbc351d656d2c9491009262e5b75b9bedad49c","test-cases/ui-ux-manual/agents.mjs":"08fcdf480b75500707cff650322eb73399a4924899055fb1a7c0f561b22cddad","test-cases/ui-ux-manual/tools.mjs":"58aba157e933a3dca363858b7817a1ddc2d16817fb4c6ca4ed19d1da9df688c5","test-cases/ui-ux-manual/connectors.mjs":"f8b2529182a337902bb1661e83cd63096b8acbd8ee14a25ff0f82ded4d6d61e9","test-cases/ui-ux-manual/knowledge.mjs":"8ef1cc1a293c4cde86e332bef24be93a5c2f78aa2b0546b42c3dc3d659d11335","test-cases/ui-ux-manual/guardrails.mjs":"885446819076498f2a2ffd88536490d42cd3dd557815eae71854f7e81e731652","test-cases/ui-ux-manual/ui-components.mjs":"1c33fb8683959a2c0a6a816ff4e861d1b3b00dbb3b842eb89df9800561310b65","test-cases/ui-ux-manual/product-tour.mjs":"cce4527c3b65355aad554657854b02f29c4c9245445325048959cc98fc8cc609","test-data/ui-automation-test-catalog.xlsx":"75e99f00b93f022bbbb291602d4491b4c0180c0e61bd7b2e82a590106ec73dd0","test-data/agents-data-driven.xlsx":"e68c18b8eede5c32a5992d7daaccb5b293ab9623a6722e8c47bfbbe9243a8574","config/environments.json":"90fe37e6e777c7704ce19b19b103f9b48b12d74aae18e677c026ef7163c51661"},"workbookHash":"a0bbae16138307dc26ffcf9aa803c4501e8283c78ff2bcf81e8aca88dbcc7da3"}</dc:description>
  <cp:keywords/>
  <cp:category/>
  <cp:lastModifiedBy>QA Copilot Playwright</cp:lastModifiedBy>
  <dcterms:created xsi:type="dcterms:W3CDTF">2026-09-23T12:59:47Z</dcterms:created>
  <dcterms:modified xsi:type="dcterms:W3CDTF">2026-09-23T12:59:47Z</dcterms:modified>
</cp:coreProperties>
</file>