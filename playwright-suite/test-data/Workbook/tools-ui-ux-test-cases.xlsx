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Automated Cases" state="visible" r:id="rId5"/>
    <sheet sheetId="3" name="Manual UI UX Cases" state="visible" r:id="rId6"/>
    <sheet sheetId="4" name="Coverage Summary" state="visible" r:id="rId7"/>
    <sheet sheetId="5" name="Field Reference" state="visible" r:id="rId8"/>
  </sheets>
  <definedNames>
    <definedName name="_xlnm.Print_Titles" localSheetId="1">'Automated Cases'!$1:$1</definedName>
    <definedName name="_xlnm.Print_Titles" localSheetId="2">'Manual UI UX Cases'!$1:$1</definedName>
  </definedNames>
  <calcPr calcId="171027" fullCalcOnLoad="1"/>
</workbook>
</file>

<file path=xl/sharedStrings.xml><?xml version="1.0" encoding="utf-8"?>
<sst xmlns="http://schemas.openxmlformats.org/spreadsheetml/2006/main" count="2193" uniqueCount="997">
  <si>
    <t>Tools UI/UX Test Suite</t>
  </si>
  <si>
    <t>Human-readable test design for review, execution and stakeholder sharing</t>
  </si>
  <si>
    <t>Topic</t>
  </si>
  <si>
    <t>Guidance</t>
  </si>
  <si>
    <t>Applies To</t>
  </si>
  <si>
    <t>Purpose</t>
  </si>
  <si>
    <t>Independent Tools UI/UX test-case workbook. Scope: Tool discovery, creation wizard, API configuration UI, access selection, persistence, update and security.</t>
  </si>
  <si>
    <t>All sheets</t>
  </si>
  <si>
    <t>Coverage</t>
  </si>
  <si>
    <t>49 current automated cases plus 34 additional manual UI/UX cases.</t>
  </si>
  <si>
    <t>Summary</t>
  </si>
  <si>
    <t>Existing data preserved</t>
  </si>
  <si>
    <t>The runtime workbook test-data/tools-data-driven.xlsx remains unchanged and continues to drive Playwright.</t>
  </si>
  <si>
    <t>Automation</t>
  </si>
  <si>
    <t>Automated Cases</t>
  </si>
  <si>
    <t>Plain-language view of the current Playwright coverage. Actions and assertions remain in code; test data remains in the runtime workbook.</t>
  </si>
  <si>
    <t>Manual UI/UX Cases</t>
  </si>
  <si>
    <t>Visual, usability, accessibility, responsive, feedback and compatibility checks that require human observation or assistive tools.</t>
  </si>
  <si>
    <t>Execute automation</t>
  </si>
  <si>
    <t>From the repository root: npm.cmd run env:run -- &lt;dev|uat|live&gt; tools. Append --headed for visible Chrome.</t>
  </si>
  <si>
    <t>Manual status</t>
  </si>
  <si>
    <t>Update only Status, Actual Result, Executed By, Executed On, Defect ID and Remarks while executing manual cases.</t>
  </si>
  <si>
    <t>Manual execution preservation</t>
  </si>
  <si>
    <t>Regeneration matches Manual UI UX Cases by Test Case ID and carries forward the editable execution fields for IDs that remain.</t>
  </si>
  <si>
    <t>Most important cases</t>
  </si>
  <si>
    <t>P0 is highest priority and is highlighted red; P1 is highlighted orange. The eight @smoke and @prod-smoke rows are the minimum read-only critical path, while @sanity is the broader fast confidence pack.</t>
  </si>
  <si>
    <t>Priority and suite tags</t>
  </si>
  <si>
    <t>Test Suites</t>
  </si>
  <si>
    <t>Registry-derived reusable packs such as Functional, Non-Functional, Smoke, Sanity, Regression, Accessibility, Performance and UAT.</t>
  </si>
  <si>
    <t>Both case sheets</t>
  </si>
  <si>
    <t>Execution Tags</t>
  </si>
  <si>
    <t>Automated rows contain registry tags synchronized to Playwright titles. Manual rows use reporting/filter tags and also include @manual, the module slug and normalized UX category.</t>
  </si>
  <si>
    <t>Run tagged automation</t>
  </si>
  <si>
    <t>Use npm.cmd run test:smoke, test:sanity, test:regression, test:security, test:a11y, test:api, test:e2e:tagged or test:integration. Each command selects the eight primary module files in Chrome.</t>
  </si>
  <si>
    <t>Environment-specific packs</t>
  </si>
  <si>
    <t>Use npm.cmd run test:uat:tagged for the UAT acceptance pack. npm.cmd run test:prod-smoke runs only the eight curated read-only @prod-smoke cases in LIVE.</t>
  </si>
  <si>
    <t>Manual-only packs</t>
  </si>
  <si>
    <t>Responsive, compatibility, visual-regression, performance, localization and exploratory tags identify designed manual reviews unless a row is explicitly present in Automated Cases.</t>
  </si>
  <si>
    <t>Retest</t>
  </si>
  <si>
    <t>Retest is defect-specific and intentionally not assigned statically; select the affected case when validating a particular fix.</t>
  </si>
  <si>
    <t>Execution planning</t>
  </si>
  <si>
    <t>Automation evidence</t>
  </si>
  <si>
    <t>Each executed Pass or Fail case automatically adds a privacy-masked final screenshot to the same Test Case ID row in the per-run Excel report under test-results/&lt;environment&gt;/excel. The row also links to the full image in its evidence folder; this static design workbook remains unchanged.</t>
  </si>
  <si>
    <t>Automated execution</t>
  </si>
  <si>
    <t>Manual evidence</t>
  </si>
  <si>
    <t>Attach screenshots, videos, accessibility output or defect links in the team test-management location; reference the Test Case ID.</t>
  </si>
  <si>
    <t>Manual execution</t>
  </si>
  <si>
    <t>Environment safety</t>
  </si>
  <si>
    <t>Use approved synthetic data. Review Write Operation cases before LIVE execution and confirm environment-specific accounts and permissions.</t>
  </si>
  <si>
    <t>All execution</t>
  </si>
  <si>
    <t>Expected results</t>
  </si>
  <si>
    <t>Results are written as observable outcomes so product, design, QA and engineering readers can interpret them consistently.</t>
  </si>
  <si>
    <t>All cases</t>
  </si>
  <si>
    <t>UI/UX scope</t>
  </si>
  <si>
    <t>API-only fields such as HTTP method, response status, JSONPath and response timing are outside this UI/UX workbook scope.</t>
  </si>
  <si>
    <t>Workbook design</t>
  </si>
  <si>
    <t>Regenerate</t>
  </si>
  <si>
    <t>From the repository root: npm.cmd run data:ui-ux-suites</t>
  </si>
  <si>
    <t>Maintenance</t>
  </si>
  <si>
    <t>Sequence</t>
  </si>
  <si>
    <t>Test Case ID</t>
  </si>
  <si>
    <t>Module</t>
  </si>
  <si>
    <t>Feature / Area</t>
  </si>
  <si>
    <t>Test Case Title</t>
  </si>
  <si>
    <t>Objective</t>
  </si>
  <si>
    <t>Preconditions</t>
  </si>
  <si>
    <t>Test Steps</t>
  </si>
  <si>
    <t>Test Data / Inputs</t>
  </si>
  <si>
    <t>Expected Result</t>
  </si>
  <si>
    <t>Category</t>
  </si>
  <si>
    <t>Scenario Type</t>
  </si>
  <si>
    <t>Priority</t>
  </si>
  <si>
    <t>Severity</t>
  </si>
  <si>
    <t>Automation Status</t>
  </si>
  <si>
    <t>Write Operation</t>
  </si>
  <si>
    <t>Environment</t>
  </si>
  <si>
    <t>Tags</t>
  </si>
  <si>
    <t>Source</t>
  </si>
  <si>
    <t>Notes</t>
  </si>
  <si>
    <t>TL-001</t>
  </si>
  <si>
    <t>Tools</t>
  </si>
  <si>
    <t>Tool navigation</t>
  </si>
  <si>
    <t>Open the Tools module</t>
  </si>
  <si>
    <t>Verify authenticated entry to the Tools module independently.</t>
  </si>
  <si>
    <t>1. A valid authenticated June session is available.</t>
  </si>
  <si>
    <t xml:space="preserve">1. Open the Tools module.
2. Verify the Tools URL, heading, search field and Create Tool action.</t>
  </si>
  <si>
    <t>No additional row data. Uses shared module settings and current page state.</t>
  </si>
  <si>
    <t>The Tools page opens in the authenticated business and is ready for interaction.</t>
  </si>
  <si>
    <t>Functional</t>
  </si>
  <si>
    <t>Positive</t>
  </si>
  <si>
    <t>P1</t>
  </si>
  <si>
    <t>Major</t>
  </si>
  <si>
    <t>Automated</t>
  </si>
  <si>
    <t>NO</t>
  </si>
  <si>
    <t>Configured DEV / UAT / LIVE</t>
  </si>
  <si>
    <t>Functional, Smoke, Production Smoke, Sanity, Regression, UAT</t>
  </si>
  <si>
    <t>@functional @smoke @prod-smoke @sanity @regression @uat</t>
  </si>
  <si>
    <t>flow, smoke, tools, navigation</t>
  </si>
  <si>
    <t>tools-data-driven.xlsx</t>
  </si>
  <si>
    <t/>
  </si>
  <si>
    <t>TL-002</t>
  </si>
  <si>
    <t>Tool discovery</t>
  </si>
  <si>
    <t>Search, filter and change the Tools layout</t>
  </si>
  <si>
    <t>Verify every recorded discovery control against live business data.</t>
  </si>
  <si>
    <t xml:space="preserve">1. A valid authenticated June session is available.
2. The active business contains at least one visible tool.</t>
  </si>
  <si>
    <t xml:space="preserve">1. Search using a visible tool name and clear the search.
2. Select My Tools, Shared Tools and All.
3. Apply Today, Yesterday, Past 7 days and Last Month.
4. Switch between both layout modes.</t>
  </si>
  <si>
    <t xml:space="preserve">Scopes: My Tools, Shared Tools, All
Date Filters: Today, Yesterday, Past 7 days, Last Month
View Indexes: 1, 0</t>
  </si>
  <si>
    <t>Search, scope, date filters and both layouts work without losing the Tools context.</t>
  </si>
  <si>
    <t>Functional, Sanity, Regression, UAT</t>
  </si>
  <si>
    <t>@functional @sanity @regression @uat</t>
  </si>
  <si>
    <t>flow, regression, tools, search, filter, layout</t>
  </si>
  <si>
    <t>TL-003</t>
  </si>
  <si>
    <t>Tool creation validation</t>
  </si>
  <si>
    <t>Validate every required Information field</t>
  </si>
  <si>
    <t>Check empty, individually missing and whitespace-only Information values.</t>
  </si>
  <si>
    <t xml:space="preserve">1. Open Create Tool.
2. Try Next with all Information fields empty.
3. Try Next with name, purpose and keywords missing one at a time.
4. Try Next with whitespace-only values.
5. Enter all valid values and continue.</t>
  </si>
  <si>
    <t xml:space="preserve">Invalid Information: 1) Label=all fields empty, Name=, Purpose=, Keywords=; 2) Label=name missing, Name=, Purpose={{CREATED_PURPOSE}}, Keywords={{CREATED_KEYWORDS}}; 3) Label=purpose missing, Name={{DRAFT_NAME}}, Purpose=, Keywords={{CREATED_KEYWORDS}}; 4) Label=keywords missing, Name={{DRAFT_NAME}}, Purpose={{CREATED_PURPOSE}}, Keywords=; 5) Label=whitespace only, Name=   , Purpose=   , Keywords=   </t>
  </si>
  <si>
    <t>Invalid Information combinations remain on Information; valid name, purpose and keywords advance to API Details.</t>
  </si>
  <si>
    <t>Negative</t>
  </si>
  <si>
    <t>flow, tools, create, validation, required-fields</t>
  </si>
  <si>
    <t>TL-004</t>
  </si>
  <si>
    <t>Enforce the 300-character keyword boundary</t>
  </si>
  <si>
    <t>Verify the documented Bot Keywords counter at its maximum and just above it.</t>
  </si>
  <si>
    <t xml:space="preserve">1. Enter exactly 300 keyword characters.
2. Verify the stored value and 300/300 counter.
3. Attempt to enter 301 characters.
4. Verify the field remains limited to 300 characters.</t>
  </si>
  <si>
    <t xml:space="preserve">Maximum Length: 300
Boundary Character: k
Overflow Character: x</t>
  </si>
  <si>
    <t>Exactly 300 characters are accepted and the 301st character is rejected.</t>
  </si>
  <si>
    <t>Positive + Negative</t>
  </si>
  <si>
    <t>P2</t>
  </si>
  <si>
    <t>Minor</t>
  </si>
  <si>
    <t>Functional, Regression</t>
  </si>
  <si>
    <t>@functional @regression</t>
  </si>
  <si>
    <t>flow, tools, create, validation, boundary</t>
  </si>
  <si>
    <t>TL-005</t>
  </si>
  <si>
    <t>Tool API validation</t>
  </si>
  <si>
    <t>Reject empty, whitespace and malformed endpoint URLs</t>
  </si>
  <si>
    <t>Verify required and URL-format validation for the endpoint.</t>
  </si>
  <si>
    <t xml:space="preserve">1. Prepare otherwise-valid Information, payload and generated schema.
2. Try Next with an empty endpoint.
3. Try Next with a whitespace-only endpoint.
4. Try Next with text that is not a URL.</t>
  </si>
  <si>
    <t>Invalid Endpoints: ,    , not-a-valid-url</t>
  </si>
  <si>
    <t>Every invalid endpoint remains on API Details and cannot advance to Access.</t>
  </si>
  <si>
    <t>Security</t>
  </si>
  <si>
    <t>Negative + Security</t>
  </si>
  <si>
    <t>Functional, Regression, API</t>
  </si>
  <si>
    <t>@functional @regression @api</t>
  </si>
  <si>
    <t>flow, tools, api, endpoint, validation, negative</t>
  </si>
  <si>
    <t>TL-006</t>
  </si>
  <si>
    <t>Reject malformed Header JSON</t>
  </si>
  <si>
    <t>Verify that the JSON-labelled request-header field parses valid JSON.</t>
  </si>
  <si>
    <t xml:space="preserve">1. Prepare an otherwise-valid API definition and generated schema.
2. Replace Header JSON with malformed text.
3. Try to advance to Access.</t>
  </si>
  <si>
    <t>Invalid Header Json: {invalid header</t>
  </si>
  <si>
    <t>Malformed Header JSON is rejected and API Details remains active.</t>
  </si>
  <si>
    <t>flow, tools, api, header, json, validation, negative</t>
  </si>
  <si>
    <t>TL-007</t>
  </si>
  <si>
    <t>Reject malformed Payload JSON</t>
  </si>
  <si>
    <t>Verify that the JSON-labelled request-payload field parses valid JSON.</t>
  </si>
  <si>
    <t xml:space="preserve">1. Prepare an otherwise-valid API definition and generated schema.
2. Replace Payload JSON with malformed text.
3. Try to advance to Access.</t>
  </si>
  <si>
    <t>Invalid Payload Json: {invalid payload</t>
  </si>
  <si>
    <t>Malformed Payload JSON is rejected and API Details remains active.</t>
  </si>
  <si>
    <t>flow, tools, api, payload, json, validation, negative</t>
  </si>
  <si>
    <t>TL-008</t>
  </si>
  <si>
    <t>Reject malformed Schema JSON and accept generated schema</t>
  </si>
  <si>
    <t>Verify successful schema generation followed by schema JSON validation.</t>
  </si>
  <si>
    <t xml:space="preserve">1. Generate schema from a valid JSON payload.
2. Parse the generated schema as JSON.
3. Replace Schema JSON with malformed text.
4. Try to advance to Access.</t>
  </si>
  <si>
    <t>Invalid Schema Json: {invalid schema</t>
  </si>
  <si>
    <t>Generated schema is valid JSON; malformed Schema JSON is rejected on API Details.</t>
  </si>
  <si>
    <t>flow, tools, api, schema, json, validation, negative</t>
  </si>
  <si>
    <t>TL-009</t>
  </si>
  <si>
    <t>Tool API configuration</t>
  </si>
  <si>
    <t>Exercise every HTTP method and payload format</t>
  </si>
  <si>
    <t>Verify every method and payload-format option recorded from the live form.</t>
  </si>
  <si>
    <t xml:space="preserve">1. Select GET, POST, PUT and DELETE.
2. Select JSON, XML, Form Data and Parameters.
3. Restore JSON and cancel the draft.</t>
  </si>
  <si>
    <t xml:space="preserve">Methods: GET, POST, PUT, DELETE
Payload Formats: JSON, XML, Form Data, Parameters
Final Payload Format: JSON</t>
  </si>
  <si>
    <t>Every HTTP method and payload format can be selected and is reflected by its control.</t>
  </si>
  <si>
    <t>Functional, Regression, Integration, API</t>
  </si>
  <si>
    <t>@functional @regression @integration @api</t>
  </si>
  <si>
    <t>flow, regression, tools, api, method, payload-format</t>
  </si>
  <si>
    <t>TL-010</t>
  </si>
  <si>
    <t>Tool access and cancellation</t>
  </si>
  <si>
    <t>Validate Access controls and cancel without persistence</t>
  </si>
  <si>
    <t>Verify access search and owner details, then prove cancellation creates no tool.</t>
  </si>
  <si>
    <t xml:space="preserve">1. Enter a unique date-time-stamped draft name.
2. Open Access and exercise employee search.
3. Verify User Access and Owner.
4. Cancel the wizard.
5. Search for the draft name.</t>
  </si>
  <si>
    <t>Employee Search: s</t>
  </si>
  <si>
    <t>Access controls are visible and the cancelled draft does not appear in the Tools list.</t>
  </si>
  <si>
    <t>flow, tools, access, cancel, validation</t>
  </si>
  <si>
    <t>TL-011</t>
  </si>
  <si>
    <t>Tool creation</t>
  </si>
  <si>
    <t>Create date-time-stamped tools in My Account and subscribed HCL</t>
  </si>
  <si>
    <t>Run one shared, Excel-driven creation flow with context-specific data in My Account and HCL INFOTECH LIMITED.</t>
  </si>
  <si>
    <t xml:space="preserve">1. A valid authenticated June session is available.
2. My Account and the subscribed HCL business permit creation of QA tools that remain after the run.</t>
  </si>
  <si>
    <t xml:space="preserve">1. Select and assert My Account before opening Tools.
2. Create a unique context-owned tool through Information, Endpoint, Header, Body and Access.
3. Assert the exact My Account tool card.
4. Switch to and assert HCL INFOTECH LIMITED.
5. Repeat the same flow with a distinct HCL-owned name and payload.
6. Restore and assert My Account.</t>
  </si>
  <si>
    <t xml:space="preserve">Contexts: myAccount, subscribedBusiness
Create Button: Create Tool</t>
  </si>
  <si>
    <t>One unique date-time-stamped tool is created in each correct account, both exact cards are visible, and My Account is restored.</t>
  </si>
  <si>
    <t>End to end</t>
  </si>
  <si>
    <t>Critical</t>
  </si>
  <si>
    <t>YES</t>
  </si>
  <si>
    <t>Functional, Regression, End-to-End, Integration</t>
  </si>
  <si>
    <t>@functional @regression @e2e @integration</t>
  </si>
  <si>
    <t>flow, write, tools, create, date-time, account-context, business-switch</t>
  </si>
  <si>
    <t>TL-012</t>
  </si>
  <si>
    <t>Tool creation verification</t>
  </si>
  <si>
    <t>Verify persisted creation values in My Account and subscribed HCL</t>
  </si>
  <si>
    <t>Reopen each account-owned tool and compare every Information, API and Access value.</t>
  </si>
  <si>
    <t>1. TL-011 created one context-specific tool in My Account and one in subscribed HCL.</t>
  </si>
  <si>
    <t xml:space="preserve">1. Enter and assert each account context before opening Tools.
2. Find and edit the exact context-owned tool.
3. Verify name, context purpose and keywords.
4. Verify endpoint, GET, JSON, header, context payload and generated schema properties.
5. Verify Access labels, zero selected users and Owner.
6. Cancel without changing data and restore My Account.</t>
  </si>
  <si>
    <t>Contexts: myAccount, subscribedBusiness</t>
  </si>
  <si>
    <t>Every value saved during creation persists in the correct account with no cross-account data leakage, and My Account is restored.</t>
  </si>
  <si>
    <t>flow, tools, create, persistence, verification, account-context, business-switch</t>
  </si>
  <si>
    <t>TL-013</t>
  </si>
  <si>
    <t>Tool edit validation</t>
  </si>
  <si>
    <t>Validate required edit fields in My Account and subscribed HCL</t>
  </si>
  <si>
    <t>Apply the same required Information checks to each account-owned tool without saving invalid data.</t>
  </si>
  <si>
    <t xml:space="preserve">1. Enter each account context and open its exact created tool.
2. Clear name, purpose and keywords one at a time using context-resolved Excel data.
3. Verify each invalid edit remains on Information.
4. Restore the correct context-owned values and continue to API Details.
5. Cancel, assert the exact card remains and restore My Account.</t>
  </si>
  <si>
    <t xml:space="preserve">Contexts: myAccount, subscribedBusiness
Invalid Edits: 1) Label=name missing, Name=, Purpose={{CREATED_PURPOSE}}, Keywords={{CREATED_KEYWORDS}}; 2) Label=purpose missing, Name={{TOOL_NAME}}, Purpose=, Keywords={{CREATED_KEYWORDS}}; 3) Label=keywords missing, Name={{TOOL_NAME}}, Purpose={{CREATED_PURPOSE}}, Keywords=</t>
  </si>
  <si>
    <t>Both account contexts block every missing required value, preserve their own tool after cancellation, and restore My Account.</t>
  </si>
  <si>
    <t>Functional, Regression, End-to-End</t>
  </si>
  <si>
    <t>@functional @regression @e2e</t>
  </si>
  <si>
    <t>flow, tools, edit, validation, required-fields, account-context, business-switch</t>
  </si>
  <si>
    <t>TL-014</t>
  </si>
  <si>
    <t>Tool update</t>
  </si>
  <si>
    <t>Update date-time-stamped tools in My Account and subscribed HCL</t>
  </si>
  <si>
    <t>Perform real context-specific updates using fresh timestamps and the redesigned API configuration steps.</t>
  </si>
  <si>
    <t xml:space="preserve">1. TL-011 created one context-specific tool in My Account and one in subscribed HCL.
2. Both account contexts permit updating their own QA tool.</t>
  </si>
  <si>
    <t xml:space="preserve">1. Enter each account context and open its exact created tool.
2. Replace purpose and keywords with context-specific update values.
3. Change the method from GET to POST.
4. Replace the payload with the context and update date and time.
5. Regenerate schema, verify Access and submit the update.
6. Assert the exact card in each account and restore My Account.</t>
  </si>
  <si>
    <t xml:space="preserve">Contexts: myAccount, subscribedBusiness
Update Button: Update Tool
Method: POST
Payload Format: JSON</t>
  </si>
  <si>
    <t>Each update succeeds only in its selected account, both exact tool cards remain visible, and My Account is restored.</t>
  </si>
  <si>
    <t>flow, write, tools, edit, update, date-time, account-context, business-switch</t>
  </si>
  <si>
    <t>TL-015</t>
  </si>
  <si>
    <t>Tool update verification</t>
  </si>
  <si>
    <t>Verify updated values in My Account and subscribed HCL</t>
  </si>
  <si>
    <t>Reopen both updated tools and compare all changed and unchanged values inside the correct account.</t>
  </si>
  <si>
    <t>1. TL-014 updated both context-specific tools in the same run.</t>
  </si>
  <si>
    <t xml:space="preserve">1. Enter each account context and edit its exact updated tool.
2. Verify the context-specific updated purpose and keywords.
3. Verify endpoint, POST, JSON, header and the context update payload.
4. Verify generated schema properties and all Access assertions.
5. Cancel without another update and restore My Account.</t>
  </si>
  <si>
    <t xml:space="preserve">Contexts: myAccount, subscribedBusiness
Expected Method: POST
Expected Payload Format: JSON</t>
  </si>
  <si>
    <t>Every update persists exactly in its owning account, including POST, context payload and timestamp, with My Account restored.</t>
  </si>
  <si>
    <t>flow, tools, update, persistence, verification, account-context, business-switch</t>
  </si>
  <si>
    <t>TL-016</t>
  </si>
  <si>
    <t>Tool API positive validation</t>
  </si>
  <si>
    <t>Accept supported HTTPS endpoint formats</t>
  </si>
  <si>
    <t>Verify normal HTTPS endpoints with ports, paths and encoded query parameters.</t>
  </si>
  <si>
    <t xml:space="preserve">1. Prepare valid Information, JSON payload and generated schema.
2. Enter a normal HTTPS API path and advance to Access.
3. Enter an HTTPS endpoint with port, path and encoded query parameters.
4. Verify each supported endpoint advances to Access.
5. Cancel without creating another tool.</t>
  </si>
  <si>
    <t>Endpoints: https://api.example.com/v1/tools, https://api.example.com:443/v1/tools?run={{RUN_COMPACT}}</t>
  </si>
  <si>
    <t>Well-formed HTTPS endpoint variants are accepted without losing API data.</t>
  </si>
  <si>
    <t>flow, positive, tools, api, endpoint</t>
  </si>
  <si>
    <t>TL-017</t>
  </si>
  <si>
    <t>Accept nested valid JSON and generate schema</t>
  </si>
  <si>
    <t>Verify objects, arrays, booleans, numbers and the run timestamp in a valid payload.</t>
  </si>
  <si>
    <t xml:space="preserve">1. Enter a nested valid JSON payload containing multiple data types.
2. Generate schema.
3. Parse and verify the generated schema.
4. Advance to Access and cancel.</t>
  </si>
  <si>
    <t>Nested Payload: Customer=Id=QA-{{RUN_COMPACT}}, Active=true, Score=98.5, Items=1) Sku=TOOLS-1, Quantity=2; 2) Sku=TOOLS-2, Quantity=1, Metadata=Run At={{RUN_ISO}}, Nullable=null</t>
  </si>
  <si>
    <t>Nested valid JSON produces valid schema and advances to Access.</t>
  </si>
  <si>
    <t>flow, positive, tools, api, json, schema</t>
  </si>
  <si>
    <t>TL-018</t>
  </si>
  <si>
    <t>Tool wizard positive validation</t>
  </si>
  <si>
    <t>Preserve valid values across Back and Next navigation</t>
  </si>
  <si>
    <t>Verify wizard navigation does not discard valid Information or API values.</t>
  </si>
  <si>
    <t xml:space="preserve">1. Enter valid Information and API values.
2. Generate schema.
3. Use Back to return to Information and verify all values.
4. Use Next to return to API Details and verify all values.
5. Advance to Access and cancel.</t>
  </si>
  <si>
    <t>All entered values remain unchanged across Back and Next navigation.</t>
  </si>
  <si>
    <t>flow, positive, tools, wizard, navigation, data-integrity</t>
  </si>
  <si>
    <t>TL-019</t>
  </si>
  <si>
    <t>Tool endpoint security</t>
  </si>
  <si>
    <t>Reject unsafe URL schemes and embedded credentials</t>
  </si>
  <si>
    <t>Prevent insecure, executable, local-file, protocol-relative and credential-bearing endpoints.</t>
  </si>
  <si>
    <t xml:space="preserve">1. Prepare an otherwise-valid API definition.
2. Try HTTP, javascript, data and file schemes.
3. Try a protocol-relative URL.
4. Try an HTTPS URL containing embedded credentials.</t>
  </si>
  <si>
    <t>Unsafe Endpoints: http://example.com/api, javascript:alert(1), data:text/plain,qa-security, file:///etc/passwd, //example.com/api, https://qa-user:qa-password@example.com/api</t>
  </si>
  <si>
    <t>Every unsafe endpoint remains on API Details and cannot advance.</t>
  </si>
  <si>
    <t>Functional, Non-Functional, Regression, Security</t>
  </si>
  <si>
    <t>@functional @non-functional @regression @security</t>
  </si>
  <si>
    <t>flow, negative, security, tools, endpoint, ssrf</t>
  </si>
  <si>
    <t>TL-020</t>
  </si>
  <si>
    <t>Reject loopback, private and link-local endpoints</t>
  </si>
  <si>
    <t>Prevent endpoint definitions that could target internal or metadata services.</t>
  </si>
  <si>
    <t xml:space="preserve">1. Prepare an otherwise-valid API definition.
2. Try localhost and 127.0.0.1.
3. Try a private RFC1918 address.
4. Try the link-local cloud metadata address.</t>
  </si>
  <si>
    <t>Internal Endpoints: http://127.0.0.1/admin, http://localhost/internal, http://10.0.0.1/private, http://169.254.169.254/latest/meta-data/</t>
  </si>
  <si>
    <t>Internal-network endpoint values are rejected before Access.</t>
  </si>
  <si>
    <t>TL-021</t>
  </si>
  <si>
    <t>Tool header security</t>
  </si>
  <si>
    <t>Reject CRLF injection in header values</t>
  </si>
  <si>
    <t>Verify valid JSON cannot smuggle additional HTTP headers through CRLF characters.</t>
  </si>
  <si>
    <t xml:space="preserve">1. Prepare an otherwise-valid API definition.
2. Enter valid Header JSON containing CRLF characters in a value.
3. Try to advance to Access.</t>
  </si>
  <si>
    <t xml:space="preserve">Header: X QA Header=safe
X-Injected: true</t>
  </si>
  <si>
    <t>Header values containing CRLF are rejected and API Details remains active.</t>
  </si>
  <si>
    <t>flow, negative, security, tools, header, crlf, injection</t>
  </si>
  <si>
    <t>TL-022</t>
  </si>
  <si>
    <t>Tool payload security</t>
  </si>
  <si>
    <t>Reject prototype-pollution keys without mutating the browser</t>
  </si>
  <si>
    <t>Verify dangerous object keys are rejected and do not change JavaScript prototypes.</t>
  </si>
  <si>
    <t xml:space="preserve">1. Prepare a valid schema.
2. Enter JSON containing __proto__ and constructor.prototype keys.
3. Try to advance to Access.
4. Verify Object.prototype was not modified.</t>
  </si>
  <si>
    <t xml:space="preserve">Prototype Payload: {
  "__proto__": { "polluted": "yes" },
  "constructor": { "prototype": { "polluted": "yes" } }
}</t>
  </si>
  <si>
    <t>Dangerous keys are rejected and the browser object prototype remains clean.</t>
  </si>
  <si>
    <t>flow, negative, security, tools, json, prototype-pollution</t>
  </si>
  <si>
    <t>TL-023</t>
  </si>
  <si>
    <t>Tool input security</t>
  </si>
  <si>
    <t>Escape XSS payloads in Information fields</t>
  </si>
  <si>
    <t>Use a harmless execution marker to confirm draft text is treated as data, not markup.</t>
  </si>
  <si>
    <t xml:space="preserve">1. Set a harmless browser execution marker.
2. Enter an image/onerror payload into name, purpose and keywords.
3. Verify unsafe markup characters are sanitized, no injected element appears and the marker is unchanged.
4. Cancel and verify the draft was not persisted.</t>
  </si>
  <si>
    <t>Security Name Prefix: QA Security XSS</t>
  </si>
  <si>
    <t>Information fields do not execute or persist the XSS payload.</t>
  </si>
  <si>
    <t>flow, security, tools, xss, input-encoding</t>
  </si>
  <si>
    <t>TL-024</t>
  </si>
  <si>
    <t>Tool search security</t>
  </si>
  <si>
    <t>Handle SQL, NoSQL and XSS-like search input safely</t>
  </si>
  <si>
    <t>Verify injection-shaped search strings do not execute or broaden results.</t>
  </si>
  <si>
    <t xml:space="preserve">1. Capture the initial tool count.
2. Search with SQL-like, NoSQL-like and XSS-like strings.
3. Verify no injected markup executes.
4. Verify the strings do not return the full tool list.
5. Clear search and verify the original count returns.</t>
  </si>
  <si>
    <t>Search Payloads: {{SQL_INJECTION_MARKER}}, {"$ne":null}, {{XSS_MARKER}}</t>
  </si>
  <si>
    <t>Injection-shaped search text is treated literally and causes no execution or result expansion.</t>
  </si>
  <si>
    <t>flow, security, tools, search, injection, xss</t>
  </si>
  <si>
    <t>TL-025</t>
  </si>
  <si>
    <t>Tool data protection</t>
  </si>
  <si>
    <t>Keep sensitive draft values out of URLs and closed DOM</t>
  </si>
  <si>
    <t>Verify a synthetic secret is not placed in navigation URLs and is removed after cancellation.</t>
  </si>
  <si>
    <t xml:space="preserve">1. Enter a synthetic secret into draft purpose, header and payload fields.
2. Verify the current URL does not contain the secret.
3. Cancel the wizard.
4. Verify the URL and remaining DOM do not contain the secret.</t>
  </si>
  <si>
    <t xml:space="preserve">Secret Prefix: qa_secret_
Purpose Prefix: Purpose contains 
Keywords: qa, security
Authorization Prefix: Bearer </t>
  </si>
  <si>
    <t>Sensitive draft values remain out of URLs and are removed when the draft closes.</t>
  </si>
  <si>
    <t>flow, security, tools, data-protection, url, cancel</t>
  </si>
  <si>
    <t>TL-026</t>
  </si>
  <si>
    <t>Tool access security</t>
  </si>
  <si>
    <t>Prevent access-search injection from selecting users</t>
  </si>
  <si>
    <t>Verify injection-shaped employee search text cannot add a user or change Owner access.</t>
  </si>
  <si>
    <t xml:space="preserve">1. Open Access on a new draft.
2. Enter SQL-like text into employee search.
3. Verify Selected Users remains zero.
4. Verify the Owner entry remains unchanged.
5. Cancel without saving.</t>
  </si>
  <si>
    <t>Access Search Payload: {{SQL_INJECTION_MARKER}}</t>
  </si>
  <si>
    <t>Search input does not select users or alter ownership.</t>
  </si>
  <si>
    <t>flow, security, tools, access, injection, authorization</t>
  </si>
  <si>
    <t>TL-027</t>
  </si>
  <si>
    <t>Tool API security configuration</t>
  </si>
  <si>
    <t>Restrict methods and payload formats to the allowlist</t>
  </si>
  <si>
    <t>Verify the UI exposes only the approved method and payload-format options.</t>
  </si>
  <si>
    <t xml:space="preserve">1. Open the HTTP method selector.
2. Verify only GET, POST, PUT and DELETE are offered.
3. Verify TRACE and CONNECT are absent.
4. Open the payload format selector.
5. Verify only JSON, XML, Form Data and Parameters are offered.</t>
  </si>
  <si>
    <t xml:space="preserve">Expected Methods: DELETE, GET, POST, PUT
Forbidden Methods: TRACE, CONNECT
Expected Payload Formats: Form Data, JSON, Parameters, XML</t>
  </si>
  <si>
    <t>Only approved HTTP methods and payload formats can be selected.</t>
  </si>
  <si>
    <t>flow, security, tools, allowlist, method, payload-format</t>
  </si>
  <si>
    <t>TL-028</t>
  </si>
  <si>
    <t>Tool transport security</t>
  </si>
  <si>
    <t>Return baseline browser security headers</t>
  </si>
  <si>
    <t>Verify HTTPS and baseline anti-sniffing, transport, framing and browser-policy headers.</t>
  </si>
  <si>
    <t xml:space="preserve">1. Navigate directly to the Tools HTTPS route.
2. Capture the document response headers.
3. Verify HSTS and X-Content-Type-Options.
4. Verify Referrer-Policy and Permissions-Policy.
5. Verify CSP frame-ancestors or X-Frame-Options.</t>
  </si>
  <si>
    <t xml:space="preserve">Required Headers: strict-transport-security, referrer-policy, permissions-policy
Content Type Options: nosniff</t>
  </si>
  <si>
    <t>The Tools document uses HTTPS and returns the baseline security headers.</t>
  </si>
  <si>
    <t>flow, security, tools, headers, https, clickjacking</t>
  </si>
  <si>
    <t>TL-029</t>
  </si>
  <si>
    <t>Tool authentication security</t>
  </si>
  <si>
    <t>Block anonymous access to Tools controls</t>
  </si>
  <si>
    <t>Open Tools in a clean unauthenticated browser context without inspecting session data.</t>
  </si>
  <si>
    <t xml:space="preserve">1. Create a clean browser context with no saved session.
2. Open the Tools route.
3. Verify the authenticated search and Create Tool controls are unavailable.
4. Close the anonymous context.</t>
  </si>
  <si>
    <t xml:space="preserve">Tools Path: /tools
Search Placeholder: Search tools...
Create Button: Create Tool</t>
  </si>
  <si>
    <t>An anonymous browser cannot access authenticated Tools controls.</t>
  </si>
  <si>
    <t>flow, security, tools, authentication, anonymous</t>
  </si>
  <si>
    <t>TL-030</t>
  </si>
  <si>
    <t>Cancel access-search changes without privilege persistence</t>
  </si>
  <si>
    <t>Verify injected access-search text does not survive or alter the created tool.</t>
  </si>
  <si>
    <t>1. TL-011 created the date-time-stamped tool in the same run.</t>
  </si>
  <si>
    <t xml:space="preserve">1. Open the created tool and its Access tab.
2. Enter injection-shaped employee search text.
3. Verify no user is selected and cancel.
4. Reopen the tool Access tab.
5. Verify Selected Users is still zero and Owner is unchanged.</t>
  </si>
  <si>
    <t>Cancelled access input does not grant or persist any additional privilege.</t>
  </si>
  <si>
    <t>flow, security, tools, access, authorization, persistence</t>
  </si>
  <si>
    <t>TL-031</t>
  </si>
  <si>
    <t>Tool CRUD matrix</t>
  </si>
  <si>
    <t>Create, update and delete GET + JSON tools</t>
  </si>
  <si>
    <t>Execute the Excel-driven GET + JSON Tool lifecycle in My Account and subscribed HCL, including persisted-value verification and exact deletion.</t>
  </si>
  <si>
    <t xml:space="preserve">1. A valid authenticated June session is available.
2. My Account and the subscribed HCL business permit CRUD operations on run-owned QA tools.</t>
  </si>
  <si>
    <t xml:space="preserve">1. Enter and assert each configured account context.
2. Create a unique context-owned tool using GET and JSON.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</si>
  <si>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GET
Payload Type: JSON
Create Button: Create Tool
Update Button: Update Tool
Delete Menu Item: Delete
Delete Dialog Title: Delete Tool
Delete Button: Delete
Create Payload: {
  "matrixCaseId": "TL-031",
  "flow": "tools",
  "operation": "create",
  "method": "GET",
  "payloadType": "JSON",
  "createdAt": "{{RUN_ISO}}"
}
Update Payload: {
  "matrixCaseId": "TL-031",
  "flow": "tools",
  "operation": "update",
  "method": "GET",
  "payloadType": "JSON",
  "updatedAt": "{{UPDATE_ISO}}"
}</t>
  </si>
  <si>
    <t>GET + JSON tools are created, verified, updated, reverified and deleted in both account contexts, with no exact card remaining after reload.</t>
  </si>
  <si>
    <t>flow, write, tools, crud-matrix, create, update, delete, api, account-context, business-switch</t>
  </si>
  <si>
    <t>TL-032</t>
  </si>
  <si>
    <t>Create, update and delete GET + XML tools</t>
  </si>
  <si>
    <t>Execute the Excel-driven GET + XML Tool lifecycle in My Account and subscribed HCL, including persisted-value verification and exact deletion.</t>
  </si>
  <si>
    <t xml:space="preserve">1. Enter and assert each configured account context.
2. Create a unique context-owned tool using GET and XML.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</si>
  <si>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GET
Payload Type: XML
Create Button: Create Tool
Update Button: Update Tool
Delete Menu Item: Delete
Delete Dialog Title: Delete Tool
Delete Button: Delete
Create Payload: &lt;toolRequest&gt;
  &lt;matrixCaseId&gt;TL-032&lt;/matrixCaseId&gt;
  &lt;flow&gt;tools&lt;/flow&gt;
  &lt;operation&gt;create&lt;/operation&gt;
  &lt;method&gt;GET&lt;/method&gt;
  &lt;payloadType&gt;XML&lt;/payloadType&gt;
  &lt;createdAt&gt;{{RUN_ISO}}&lt;/createdAt&gt;
&lt;/toolRequest&gt;
Update Payload: &lt;toolRequest&gt;
  &lt;matrixCaseId&gt;TL-032&lt;/matrixCaseId&gt;
  &lt;flow&gt;tools&lt;/flow&gt;
  &lt;operation&gt;update&lt;/operation&gt;
  &lt;method&gt;GET&lt;/method&gt;
  &lt;payloadType&gt;XML&lt;/payloadType&gt;
  &lt;updatedAt&gt;{{UPDATE_ISO}}&lt;/updatedAt&gt;
&lt;/toolRequest&gt;</t>
  </si>
  <si>
    <t>GET + XML tools are created, verified, updated, reverified and deleted in both account contexts, with no exact card remaining after reload.</t>
  </si>
  <si>
    <t>TL-033</t>
  </si>
  <si>
    <t>Create, update and delete GET + Form Data tools</t>
  </si>
  <si>
    <t>Execute the Excel-driven GET + Form Data Tool lifecycle in My Account and subscribed HCL, including persisted-value verification and exact deletion.</t>
  </si>
  <si>
    <t xml:space="preserve">1. Enter and assert each configured account context.
2. Create a unique context-owned tool using GET and Form Data.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</si>
  <si>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GET
Payload Type: Form Data
Create Button: Create Tool
Update Button: Update Tool
Delete Menu Item: Delete
Delete Dialog Title: Delete Tool
Delete Button: Delete
Create Payload: matrixCaseId:TL-033
flow:tools
operation:create
method:GET
payloadType:Form Data
createdAt:{{RUN_ISO}}
Update Payload: matrixCaseId:TL-033
flow:tools
operation:update
method:GET
payloadType:Form Data
updatedAt:{{UPDATE_ISO}}</t>
  </si>
  <si>
    <t>GET + Form Data tools are created, verified, updated, reverified and deleted in both account contexts, with no exact card remaining after reload.</t>
  </si>
  <si>
    <t>TL-034</t>
  </si>
  <si>
    <t>Create, update and delete GET + Parameters tools</t>
  </si>
  <si>
    <t>Execute the Excel-driven GET + Parameters Tool lifecycle in My Account and subscribed HCL, including persisted-value verification and exact deletion.</t>
  </si>
  <si>
    <t xml:space="preserve">1. Enter and assert each configured account context.
2. Create a unique context-owned tool using GET and Parameters.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</si>
  <si>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GET
Payload Type: Parameters
Create Button: Create Tool
Update Button: Update Tool
Delete Menu Item: Delete
Delete Dialog Title: Delete Tool
Delete Button: Delete
Create Payload: matrixCaseId:TL-034
flow:tools
operation:create
method:GET
payloadType:Parameters
createdAt:{{RUN_ISO}}
Update Payload: matrixCaseId:TL-034
flow:tools
operation:update
method:GET
payloadType:Parameters
updatedAt:{{UPDATE_ISO}}</t>
  </si>
  <si>
    <t>GET + Parameters tools are created, verified, updated, reverified and deleted in both account contexts, with no exact card remaining after reload.</t>
  </si>
  <si>
    <t>TL-035</t>
  </si>
  <si>
    <t>Create, update and delete POST + JSON tools</t>
  </si>
  <si>
    <t>Execute the Excel-driven POST + JSON Tool lifecycle in My Account and subscribed HCL, including persisted-value verification and exact deletion.</t>
  </si>
  <si>
    <t xml:space="preserve">1. Enter and assert each configured account context.
2. Create a unique context-owned tool using POST and JSON.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</si>
  <si>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POST
Payload Type: JSON
Create Button: Create Tool
Update Button: Update Tool
Delete Menu Item: Delete
Delete Dialog Title: Delete Tool
Delete Button: Delete
Create Payload: {
  "matrixCaseId": "TL-035",
  "flow": "tools",
  "operation": "create",
  "method": "POST",
  "payloadType": "JSON",
  "createdAt": "{{RUN_ISO}}"
}
Update Payload: {
  "matrixCaseId": "TL-035",
  "flow": "tools",
  "operation": "update",
  "method": "POST",
  "payloadType": "JSON",
  "updatedAt": "{{UPDATE_ISO}}"
}</t>
  </si>
  <si>
    <t>POST + JSON tools are created, verified, updated, reverified and deleted in both account contexts, with no exact card remaining after reload.</t>
  </si>
  <si>
    <t>TL-036</t>
  </si>
  <si>
    <t>Create, update and delete POST + XML tools</t>
  </si>
  <si>
    <t>Execute the Excel-driven POST + XML Tool lifecycle in My Account and subscribed HCL, including persisted-value verification and exact deletion.</t>
  </si>
  <si>
    <t xml:space="preserve">1. Enter and assert each configured account context.
2. Create a unique context-owned tool using POST and XML.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</si>
  <si>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POST
Payload Type: XML
Create Button: Create Tool
Update Button: Update Tool
Delete Menu Item: Delete
Delete Dialog Title: Delete Tool
Delete Button: Delete
Create Payload: &lt;toolRequest&gt;
  &lt;matrixCaseId&gt;TL-036&lt;/matrixCaseId&gt;
  &lt;flow&gt;tools&lt;/flow&gt;
  &lt;operation&gt;create&lt;/operation&gt;
  &lt;method&gt;POST&lt;/method&gt;
  &lt;payloadType&gt;XML&lt;/payloadType&gt;
  &lt;createdAt&gt;{{RUN_ISO}}&lt;/createdAt&gt;
&lt;/toolRequest&gt;
Update Payload: &lt;toolRequest&gt;
  &lt;matrixCaseId&gt;TL-036&lt;/matrixCaseId&gt;
  &lt;flow&gt;tools&lt;/flow&gt;
  &lt;operation&gt;update&lt;/operation&gt;
  &lt;method&gt;POST&lt;/method&gt;
  &lt;payloadType&gt;XML&lt;/payloadType&gt;
  &lt;updatedAt&gt;{{UPDATE_ISO}}&lt;/updatedAt&gt;
&lt;/toolRequest&gt;</t>
  </si>
  <si>
    <t>POST + XML tools are created, verified, updated, reverified and deleted in both account contexts, with no exact card remaining after reload.</t>
  </si>
  <si>
    <t>TL-037</t>
  </si>
  <si>
    <t>Create, update and delete POST + Form Data tools</t>
  </si>
  <si>
    <t>Execute the Excel-driven POST + Form Data Tool lifecycle in My Account and subscribed HCL, including persisted-value verification and exact deletion.</t>
  </si>
  <si>
    <t xml:space="preserve">1. Enter and assert each configured account context.
2. Create a unique context-owned tool using POST and Form Data.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</si>
  <si>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POST
Payload Type: Form Data
Create Button: Create Tool
Update Button: Update Tool
Delete Menu Item: Delete
Delete Dialog Title: Delete Tool
Delete Button: Delete
Create Payload: matrixCaseId:TL-037
flow:tools
operation:create
method:POST
payloadType:Form Data
createdAt:{{RUN_ISO}}
Update Payload: matrixCaseId:TL-037
flow:tools
operation:update
method:POST
payloadType:Form Data
updatedAt:{{UPDATE_ISO}}</t>
  </si>
  <si>
    <t>POST + Form Data tools are created, verified, updated, reverified and deleted in both account contexts, with no exact card remaining after reload.</t>
  </si>
  <si>
    <t>TL-038</t>
  </si>
  <si>
    <t>Create, update and delete POST + Parameters tools</t>
  </si>
  <si>
    <t>Execute the Excel-driven POST + Parameters Tool lifecycle in My Account and subscribed HCL, including persisted-value verification and exact deletion.</t>
  </si>
  <si>
    <t xml:space="preserve">1. Enter and assert each configured account context.
2. Create a unique context-owned tool using POST and Parameters.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</si>
  <si>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POST
Payload Type: Parameters
Create Button: Create Tool
Update Button: Update Tool
Delete Menu Item: Delete
Delete Dialog Title: Delete Tool
Delete Button: Delete
Create Payload: matrixCaseId:TL-038
flow:tools
operation:create
method:POST
payloadType:Parameters
createdAt:{{RUN_ISO}}
Update Payload: matrixCaseId:TL-038
flow:tools
operation:update
method:POST
payloadType:Parameters
updatedAt:{{UPDATE_ISO}}</t>
  </si>
  <si>
    <t>POST + Parameters tools are created, verified, updated, reverified and deleted in both account contexts, with no exact card remaining after reload.</t>
  </si>
  <si>
    <t>TL-039</t>
  </si>
  <si>
    <t>Create, update and delete PUT + JSON tools</t>
  </si>
  <si>
    <t>Execute the Excel-driven PUT + JSON Tool lifecycle in My Account and subscribed HCL, including persisted-value verification and exact deletion.</t>
  </si>
  <si>
    <t xml:space="preserve">1. Enter and assert each configured account context.
2. Create a unique context-owned tool using PUT and JSON.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</si>
  <si>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PUT
Payload Type: JSON
Create Button: Create Tool
Update Button: Update Tool
Delete Menu Item: Delete
Delete Dialog Title: Delete Tool
Delete Button: Delete
Create Payload: {
  "matrixCaseId": "TL-039",
  "flow": "tools",
  "operation": "create",
  "method": "PUT",
  "payloadType": "JSON",
  "createdAt": "{{RUN_ISO}}"
}
Update Payload: {
  "matrixCaseId": "TL-039",
  "flow": "tools",
  "operation": "update",
  "method": "PUT",
  "payloadType": "JSON",
  "updatedAt": "{{UPDATE_ISO}}"
}</t>
  </si>
  <si>
    <t>PUT + JSON tools are created, verified, updated, reverified and deleted in both account contexts, with no exact card remaining after reload.</t>
  </si>
  <si>
    <t>TL-040</t>
  </si>
  <si>
    <t>Create, update and delete PUT + XML tools</t>
  </si>
  <si>
    <t>Execute the Excel-driven PUT + XML Tool lifecycle in My Account and subscribed HCL, including persisted-value verification and exact deletion.</t>
  </si>
  <si>
    <t xml:space="preserve">1. Enter and assert each configured account context.
2. Create a unique context-owned tool using PUT and XML.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</si>
  <si>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PUT
Payload Type: XML
Create Button: Create Tool
Update Button: Update Tool
Delete Menu Item: Delete
Delete Dialog Title: Delete Tool
Delete Button: Delete
Create Payload: &lt;toolRequest&gt;
  &lt;matrixCaseId&gt;TL-040&lt;/matrixCaseId&gt;
  &lt;flow&gt;tools&lt;/flow&gt;
  &lt;operation&gt;create&lt;/operation&gt;
  &lt;method&gt;PUT&lt;/method&gt;
  &lt;payloadType&gt;XML&lt;/payloadType&gt;
  &lt;createdAt&gt;{{RUN_ISO}}&lt;/createdAt&gt;
&lt;/toolRequest&gt;
Update Payload: &lt;toolRequest&gt;
  &lt;matrixCaseId&gt;TL-040&lt;/matrixCaseId&gt;
  &lt;flow&gt;tools&lt;/flow&gt;
  &lt;operation&gt;update&lt;/operation&gt;
  &lt;method&gt;PUT&lt;/method&gt;
  &lt;payloadType&gt;XML&lt;/payloadType&gt;
  &lt;updatedAt&gt;{{UPDATE_ISO}}&lt;/updatedAt&gt;
&lt;/toolRequest&gt;</t>
  </si>
  <si>
    <t>PUT + XML tools are created, verified, updated, reverified and deleted in both account contexts, with no exact card remaining after reload.</t>
  </si>
  <si>
    <t>TL-041</t>
  </si>
  <si>
    <t>Create, update and delete PUT + Form Data tools</t>
  </si>
  <si>
    <t>Execute the Excel-driven PUT + Form Data Tool lifecycle in My Account and subscribed HCL, including persisted-value verification and exact deletion.</t>
  </si>
  <si>
    <t xml:space="preserve">1. Enter and assert each configured account context.
2. Create a unique context-owned tool using PUT and Form Data.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</si>
  <si>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PUT
Payload Type: Form Data
Create Button: Create Tool
Update Button: Update Tool
Delete Menu Item: Delete
Delete Dialog Title: Delete Tool
Delete Button: Delete
Create Payload: matrixCaseId:TL-041
flow:tools
operation:create
method:PUT
payloadType:Form Data
createdAt:{{RUN_ISO}}
Update Payload: matrixCaseId:TL-041
flow:tools
operation:update
method:PUT
payloadType:Form Data
updatedAt:{{UPDATE_ISO}}</t>
  </si>
  <si>
    <t>PUT + Form Data tools are created, verified, updated, reverified and deleted in both account contexts, with no exact card remaining after reload.</t>
  </si>
  <si>
    <t>TL-042</t>
  </si>
  <si>
    <t>Create, update and delete PUT + Parameters tools</t>
  </si>
  <si>
    <t>Execute the Excel-driven PUT + Parameters Tool lifecycle in My Account and subscribed HCL, including persisted-value verification and exact deletion.</t>
  </si>
  <si>
    <t xml:space="preserve">1. Enter and assert each configured account context.
2. Create a unique context-owned tool using PUT and Parameters.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</si>
  <si>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PUT
Payload Type: Parameters
Create Button: Create Tool
Update Button: Update Tool
Delete Menu Item: Delete
Delete Dialog Title: Delete Tool
Delete Button: Delete
Create Payload: matrixCaseId:TL-042
flow:tools
operation:create
method:PUT
payloadType:Parameters
createdAt:{{RUN_ISO}}
Update Payload: matrixCaseId:TL-042
flow:tools
operation:update
method:PUT
payloadType:Parameters
updatedAt:{{UPDATE_ISO}}</t>
  </si>
  <si>
    <t>PUT + Parameters tools are created, verified, updated, reverified and deleted in both account contexts, with no exact card remaining after reload.</t>
  </si>
  <si>
    <t>TL-043</t>
  </si>
  <si>
    <t>Create, update and delete DELETE + JSON tools</t>
  </si>
  <si>
    <t>Execute the Excel-driven DELETE + JSON Tool lifecycle in My Account and subscribed HCL, including persisted-value verification and exact deletion.</t>
  </si>
  <si>
    <t xml:space="preserve">1. Enter and assert each configured account context.
2. Create a unique context-owned tool using DELETE and JSON.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</si>
  <si>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DELETE
Payload Type: JSON
Create Button: Create Tool
Update Button: Update Tool
Delete Menu Item: Delete
Delete Dialog Title: Delete Tool
Delete Button: Delete
Create Payload: {
  "matrixCaseId": "TL-043",
  "flow": "tools",
  "operation": "create",
  "method": "DELETE",
  "payloadType": "JSON",
  "createdAt": "{{RUN_ISO}}"
}
Update Payload: {
  "matrixCaseId": "TL-043",
  "flow": "tools",
  "operation": "update",
  "method": "DELETE",
  "payloadType": "JSON",
  "updatedAt": "{{UPDATE_ISO}}"
}</t>
  </si>
  <si>
    <t>DELETE + JSON tools are created, verified, updated, reverified and deleted in both account contexts, with no exact card remaining after reload.</t>
  </si>
  <si>
    <t>TL-044</t>
  </si>
  <si>
    <t>Create, update and delete DELETE + XML tools</t>
  </si>
  <si>
    <t>Execute the Excel-driven DELETE + XML Tool lifecycle in My Account and subscribed HCL, including persisted-value verification and exact deletion.</t>
  </si>
  <si>
    <t xml:space="preserve">1. Enter and assert each configured account context.
2. Create a unique context-owned tool using DELETE and XML.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</si>
  <si>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DELETE
Payload Type: XML
Create Button: Create Tool
Update Button: Update Tool
Delete Menu Item: Delete
Delete Dialog Title: Delete Tool
Delete Button: Delete
Create Payload: &lt;toolRequest&gt;
  &lt;matrixCaseId&gt;TL-044&lt;/matrixCaseId&gt;
  &lt;flow&gt;tools&lt;/flow&gt;
  &lt;operation&gt;create&lt;/operation&gt;
  &lt;method&gt;DELETE&lt;/method&gt;
  &lt;payloadType&gt;XML&lt;/payloadType&gt;
  &lt;createdAt&gt;{{RUN_ISO}}&lt;/createdAt&gt;
&lt;/toolRequest&gt;
Update Payload: &lt;toolRequest&gt;
  &lt;matrixCaseId&gt;TL-044&lt;/matrixCaseId&gt;
  &lt;flow&gt;tools&lt;/flow&gt;
  &lt;operation&gt;update&lt;/operation&gt;
  &lt;method&gt;DELETE&lt;/method&gt;
  &lt;payloadType&gt;XML&lt;/payloadType&gt;
  &lt;updatedAt&gt;{{UPDATE_ISO}}&lt;/updatedAt&gt;
&lt;/toolRequest&gt;</t>
  </si>
  <si>
    <t>DELETE + XML tools are created, verified, updated, reverified and deleted in both account contexts, with no exact card remaining after reload.</t>
  </si>
  <si>
    <t>TL-045</t>
  </si>
  <si>
    <t>Create, update and delete DELETE + Form Data tools</t>
  </si>
  <si>
    <t>Execute the Excel-driven DELETE + Form Data Tool lifecycle in My Account and subscribed HCL, including persisted-value verification and exact deletion.</t>
  </si>
  <si>
    <t xml:space="preserve">1. Enter and assert each configured account context.
2. Create a unique context-owned tool using DELETE and Form Data.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</si>
  <si>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DELETE
Payload Type: Form Data
Create Button: Create Tool
Update Button: Update Tool
Delete Menu Item: Delete
Delete Dialog Title: Delete Tool
Delete Button: Delete
Create Payload: matrixCaseId:TL-045
flow:tools
operation:create
method:DELETE
payloadType:Form Data
createdAt:{{RUN_ISO}}
Update Payload: matrixCaseId:TL-045
flow:tools
operation:update
method:DELETE
payloadType:Form Data
updatedAt:{{UPDATE_ISO}}</t>
  </si>
  <si>
    <t>DELETE + Form Data tools are created, verified, updated, reverified and deleted in both account contexts, with no exact card remaining after reload.</t>
  </si>
  <si>
    <t>TL-046</t>
  </si>
  <si>
    <t>Create, update and delete DELETE + Parameters tools</t>
  </si>
  <si>
    <t>Execute the Excel-driven DELETE + Parameters Tool lifecycle in My Account and subscribed HCL, including persisted-value verification and exact deletion.</t>
  </si>
  <si>
    <t xml:space="preserve">1. Enter and assert each configured account context.
2. Create a unique context-owned tool using DELETE and Parameters.
3. Reopen the exact card and verify every persisted creation value.
4. Update the purpose, keywords and payload, then verify every persisted update.
5. Cancel the exact-card deletion once and verify the tool remains.
6. Confirm deletion, verify exact search remains empty after reload and restore My Account.</t>
  </si>
  <si>
    <t xml:space="preserve">Contexts: myAccount, subscribedBusiness
Method: DELETE
Payload Type: Parameters
Create Button: Create Tool
Update Button: Update Tool
Delete Menu Item: Delete
Delete Dialog Title: Delete Tool
Delete Button: Delete
Create Payload: matrixCaseId:TL-046
flow:tools
operation:create
method:DELETE
payloadType:Parameters
createdAt:{{RUN_ISO}}
Update Payload: matrixCaseId:TL-046
flow:tools
operation:update
method:DELETE
payloadType:Parameters
updatedAt:{{UPDATE_ISO}}</t>
  </si>
  <si>
    <t>DELETE + Parameters tools are created, verified, updated, reverified and deleted in both account contexts, with no exact card remaining after reload.</t>
  </si>
  <si>
    <t>TL-047</t>
  </si>
  <si>
    <t>Tool authentication access</t>
  </si>
  <si>
    <t>Select No Authentication and verify persistence</t>
  </si>
  <si>
    <t>Create a run-owned tool in each configured account context, select No Authentication, and verify the selection survives create and update reopen cycles.</t>
  </si>
  <si>
    <t xml:space="preserve">1. A valid authenticated June session is available.
2. My Account and the subscribed business permit CRUD operations on run-owned QA tools.</t>
  </si>
  <si>
    <t xml:space="preserve">1. Enter and assert each Excel-configured account context.
2. Create a unique tool and select No Authentication in API Details Header.
3. Reopen the exact tool and verify No Authentication remains selected.
4. Update the tool, reopen it again and verify the selection still persists.
5. Delete only the exact run-owned tool and restore My Account.</t>
  </si>
  <si>
    <t xml:space="preserve">Contexts: myAccount, subscribedBusiness
Authentication Option: No Authentication
Create Button: Create Tool
Update Button: Update Tool
Delete Menu Item: Delete
Delete Dialog Title: Delete Tool
Delete Button: Delete</t>
  </si>
  <si>
    <t>No Authentication remains selected after create and update in both account contexts, and both run-owned tools are deleted safely.</t>
  </si>
  <si>
    <t>flow, write, tools, access-controls, authentication, persistence, account-context, business-switch</t>
  </si>
  <si>
    <t>TL-048</t>
  </si>
  <si>
    <t>Tool company access</t>
  </si>
  <si>
    <t>Verify Company Access visibility from a separate company login</t>
  </si>
  <si>
    <t>Verify Company Access persistence and authorization by checking the tool from a different, unassigned company-member login while access is enabled and disabled.</t>
  </si>
  <si>
    <t xml:space="preserve">1. A valid authenticated June session is available.
2. The configured subscribed business permits Tool CRUD operations.</t>
  </si>
  <si>
    <t xml:space="preserve">1. Switch to and assert the Excel-configured subscribed-business context.
2. Create a unique tool with Company Access enabled.
3. Reopen the exact tool and verify Company Access remains enabled.
4. Open an isolated company-member session and verify the tool is visible in the Tools menu.
5. Disable Company Access, update the tool and verify the disabled state after reopening.
6. Refresh the same company-member Tools menu and verify the tool is no longer visible.
7. Delete only the exact run-owned tool and restore My Account.</t>
  </si>
  <si>
    <t xml:space="preserve">Context: subscribedBusiness
Company Access Label: Company Access
Company Access States: true, false
Create Button: Create Tool
Update Button: Update Tool
Delete Menu Item: Delete
Delete Dialog Title: Delete Tool
Delete Button: Delete
Company Member Visible When Enabled: true
Company Member Hidden When Disabled: true</t>
  </si>
  <si>
    <t>The unrelated company member sees the tool only while Company Access is enabled, both switch states persist, and the run-owned tool is deleted safely.</t>
  </si>
  <si>
    <t>flow, write, tools, access-controls, company-access, cross-user-access, authorization, persistence, account-context, business-switch</t>
  </si>
  <si>
    <t>TL-049</t>
  </si>
  <si>
    <t>Tool employee access</t>
  </si>
  <si>
    <t>Verify assigned-user visibility and unassigned company-user denial</t>
  </si>
  <si>
    <t>Assign the configured user plus a second active employee, verify permission persistence, then prove visibility from the assigned login and denial from a different unassigned company login without storing employee PII.</t>
  </si>
  <si>
    <t xml:space="preserve">1. A valid authenticated June session is available.
2. Distinct assigned-user and company-member sessions are configured outside Excel.
3. The configured subscribed business exposes at least two distinct approved employee results.</t>
  </si>
  <si>
    <t xml:space="preserve">1. Switch to and assert the Excel-configured subscribed-business context.
2. Select the configured assigned user, then discover a different active employee without writing either identifier to Excel or evidence.
3. Assign Can Edit to the configured user and Can View to the second employee while Company Access remains disabled.
4. Verify Selected Users equals two, save, reopen and verify both permission assignments persist.
5. Verify the assigned login sees the tool and a different unassigned company-member login does not.
6. Delete only the exact run-owned tool and restore My Account.</t>
  </si>
  <si>
    <t xml:space="preserve">Context: subscribedBusiness
Permissions: Can Edit, Can View
Expected Selected Count: 2
Create Button: Create Tool
Update Button: Update Tool
Delete Menu Item: Delete
Delete Dialog Title: Delete Tool
Delete Button: Delete
Employee Directory Path: /api/admin-settings/get_employee_details/
Employee Candidate Limit: 10
Assigned User Visible: true
Unassigned Company Member Hidden: true</t>
  </si>
  <si>
    <t>The configured assigned user sees the tool, the unrelated unassigned company member cannot see it while Company Access is off, permissions persist, and the run-owned tool is deleted safely.</t>
  </si>
  <si>
    <t>flow, write, tools, access-controls, employee-access, cross-user-access, authorization, permissions, persistence, account-context, business-switch</t>
  </si>
  <si>
    <t>Test Data / Viewport</t>
  </si>
  <si>
    <t>UX Category</t>
  </si>
  <si>
    <t>Review Method</t>
  </si>
  <si>
    <t>Recommended Environment</t>
  </si>
  <si>
    <t>Status</t>
  </si>
  <si>
    <t>Actual Result</t>
  </si>
  <si>
    <t>Executed By</t>
  </si>
  <si>
    <t>Executed On</t>
  </si>
  <si>
    <t>Defect ID</t>
  </si>
  <si>
    <t>Remarks</t>
  </si>
  <si>
    <t>TL-UX-001</t>
  </si>
  <si>
    <t>Page shell</t>
  </si>
  <si>
    <t>Present a clear Tools page hierarchy</t>
  </si>
  <si>
    <t>Confirm that users can immediately identify the module, current context, available filters and primary action.</t>
  </si>
  <si>
    <t xml:space="preserve">1. The user is authenticated in a test business containing at least three tools.
2. The Tools page is available to the signed-in role.</t>
  </si>
  <si>
    <t xml:space="preserve">1. Open the Tools module and wait for the page content to settle.
2. Review the page heading, business context, Create Tool action, search, filters, view controls and tool cards without interacting.
3. Scan the page from top to bottom at the default browser zoom.</t>
  </si>
  <si>
    <t>Chrome at 1440 x 900; business containing at least three representative tools.</t>
  </si>
  <si>
    <t>One clear Tools heading is present; Create Tool is the obvious primary action; search, filters and view controls are logically grouped; the current business context is unambiguous; no text, card or control is clipped or overlapping.</t>
  </si>
  <si>
    <t>Usability</t>
  </si>
  <si>
    <t>Manual visual review with a full-page screenshot.</t>
  </si>
  <si>
    <t>DEV first; repeat in UAT before release.</t>
  </si>
  <si>
    <t>Non-Functional, Regression</t>
  </si>
  <si>
    <t>@non-functional @regression @manual @tools @usability</t>
  </si>
  <si>
    <t>Not Run</t>
  </si>
  <si>
    <t>TL-UX-002</t>
  </si>
  <si>
    <t>Loading state</t>
  </si>
  <si>
    <t>Provide a stable initial loading experience</t>
  </si>
  <si>
    <t>Verify that the page provides useful feedback and remains visually stable while tool data is loading.</t>
  </si>
  <si>
    <t xml:space="preserve">1. The user is authenticated and can open Tools.
2. Chrome DevTools network throttling is available.</t>
  </si>
  <si>
    <t xml:space="preserve">1. Enable Slow 3G network throttling and disable the browser cache.
2. Reload the Tools page.
3. Observe the page from navigation until the tool cards finish loading.</t>
  </si>
  <si>
    <t>Chrome at 1440 x 900 with Slow 3G and cache disabled.</t>
  </si>
  <si>
    <t>A visible progress or skeleton state is shown instead of a prolonged blank surface; unavailable actions are not misleadingly enabled; loading and final content do not overlap; focus does not jump; the indicator is removed once when loading completes.</t>
  </si>
  <si>
    <t>Feedback</t>
  </si>
  <si>
    <t>Manual observation, DevTools throttling and screen recording.</t>
  </si>
  <si>
    <t>DEV for controlled throttling; confirm the normal state in UAT.</t>
  </si>
  <si>
    <t>@non-functional @regression @feedback @manual @tools</t>
  </si>
  <si>
    <t>TL-UX-003</t>
  </si>
  <si>
    <t>Error state</t>
  </si>
  <si>
    <t>Recover from a tools-list loading failure</t>
  </si>
  <si>
    <t>Verify that a list-loading failure is distinguishable from an empty result and can be recovered without a new login.</t>
  </si>
  <si>
    <t xml:space="preserve">1. The user is authenticated in a business that normally contains tools.
2. The tools-list request can be blocked or failed in a controlled test environment.</t>
  </si>
  <si>
    <t xml:space="preserve">1. Force the tools-list request to fail and open Tools.
2. Review the displayed failure state and keyboard focus.
3. Restore the request and activate Retry using the keyboard.</t>
  </si>
  <si>
    <t>One simulated network or HTTP 5xx list failure followed by a successful retry.</t>
  </si>
  <si>
    <t>The failure is not presented as an empty list; a human-readable message appears without stack traces or internal details; Retry is keyboard accessible; retry loads the cards without duplicates and without requiring another login.</t>
  </si>
  <si>
    <t>Resilience</t>
  </si>
  <si>
    <t>Request interception, keyboard operation and manual visual review.</t>
  </si>
  <si>
    <t>DEV only for fault injection; confirm standard recovery messaging in UAT.</t>
  </si>
  <si>
    <t>Non-Functional, Regression, Accessibility</t>
  </si>
  <si>
    <t>@non-functional @regression @a11y @manual @resilience @tools</t>
  </si>
  <si>
    <t>TL-UX-004</t>
  </si>
  <si>
    <t>Empty state</t>
  </si>
  <si>
    <t>Guide a user when the business has no tools</t>
  </si>
  <si>
    <t>Ensure that a first-time empty business receives clear guidance and an obvious next action.</t>
  </si>
  <si>
    <t>1. The user is authenticated in a dedicated test business containing no tools.</t>
  </si>
  <si>
    <t xml:space="preserve">1. Open the Tools module.
2. Review the empty-state heading, explanation, illustration and available actions.
3. Activate the primary empty-state action.</t>
  </si>
  <si>
    <t>Dedicated empty DEV or UAT business; Chrome at 1366 x 768.</t>
  </si>
  <si>
    <t>A clear no-tools-yet message explains the state; Create Tool is offered as the next action; the state cannot be mistaken for a loading or server error; the primary action opens the create wizard.</t>
  </si>
  <si>
    <t>Empty-state UX</t>
  </si>
  <si>
    <t>Manual visual and interaction review with screenshot evidence.</t>
  </si>
  <si>
    <t>DEV or UAT using a dedicated empty business.</t>
  </si>
  <si>
    <t>@non-functional @regression @empty-state-ux @manual @tools</t>
  </si>
  <si>
    <t>TL-UX-005</t>
  </si>
  <si>
    <t>Search empty state</t>
  </si>
  <si>
    <t>Distinguish no matching results from no tools</t>
  </si>
  <si>
    <t>Confirm that users understand why no cards are displayed after search or filtering and can easily recover.</t>
  </si>
  <si>
    <t>1. The current business contains multiple visible tools.</t>
  </si>
  <si>
    <t xml:space="preserve">1. Enter a unique query that cannot match an existing tool.
2. Apply a restrictive scope or date filter.
3. Review the resulting message, then clear the query and filters.</t>
  </si>
  <si>
    <t>Search text: qa-no-tool-match-987654; any restrictive applicable filter.</t>
  </si>
  <si>
    <t>The entered query and active filters remain visible; the message says that no tools match the criteria rather than implying that no tools exist; a clear or reset action is available; clearing criteria restores the cards.</t>
  </si>
  <si>
    <t>Search UX</t>
  </si>
  <si>
    <t>Manual interaction and copy review.</t>
  </si>
  <si>
    <t>@non-functional @regression @manual @search-ux @tools</t>
  </si>
  <si>
    <t>TL-UX-006</t>
  </si>
  <si>
    <t>Search</t>
  </si>
  <si>
    <t>Keep search typing, focus and clearing predictable</t>
  </si>
  <si>
    <t>Assess the interaction quality of live searching without rechecking the existing functional search assertions.</t>
  </si>
  <si>
    <t>1. The current business contains tools with distinguishable names.</t>
  </si>
  <si>
    <t xml:space="preserve">1. Type a known tool name one character at a time.
2. Paste a different search term and then delete several characters.
3. Clear the search using the visible control and then using the keyboard.</t>
  </si>
  <si>
    <t>One existing tool name, one pasted partial term and one term containing spaces.</t>
  </si>
  <si>
    <t>The search field retains focus and caret position; results do not flicker between stale states; characters remain exactly as entered; the clear action has an accessible name and immediately restores the unfiltered view.</t>
  </si>
  <si>
    <t>Manual keyboard and visual review.</t>
  </si>
  <si>
    <t>@non-functional @regression @a11y @manual @tools @usability</t>
  </si>
  <si>
    <t>TL-UX-007</t>
  </si>
  <si>
    <t>Filters</t>
  </si>
  <si>
    <t>Make active filter state visible and easy to reset</t>
  </si>
  <si>
    <t>Ensure that users can always identify the active scope and Created On criteria.</t>
  </si>
  <si>
    <t>1. The business contains tools across applicable scopes and creation dates.</t>
  </si>
  <si>
    <t xml:space="preserve">1. Select a non-default scope and a non-default Created On value.
2. Close each filter control and switch the card layout.
3. Review the active states and then reset all filters.</t>
  </si>
  <si>
    <t>One non-default scope, one non-default Created On filter and both available layouts.</t>
  </si>
  <si>
    <t>Every selected value remains visible when its control is closed; active state is conveyed by text or icon and not color alone; filters are keyboard reachable; changing layout does not obscure the criteria; reset restores the documented defaults.</t>
  </si>
  <si>
    <t>Filter UX</t>
  </si>
  <si>
    <t>Manual visual and keyboard review.</t>
  </si>
  <si>
    <t>@non-functional @regression @a11y @filter-ux @manual @tools</t>
  </si>
  <si>
    <t>TL-UX-008</t>
  </si>
  <si>
    <t>Layout views</t>
  </si>
  <si>
    <t>Maintain information parity between grid and list views</t>
  </si>
  <si>
    <t>Verify that changing layout does not hide essential tool information or available actions.</t>
  </si>
  <si>
    <t>1. At least one tool contains complete representative metadata.</t>
  </si>
  <si>
    <t xml:space="preserve">1. Record the visible identity, metadata and actions for one tool in the initial layout.
2. Switch to the other layout and locate the same tool.
3. Compare the information hierarchy, actions, spacing and retained page state.</t>
  </si>
  <si>
    <t>One representative tool viewed in grid and list layouts at 1440 x 900.</t>
  </si>
  <si>
    <t>Tool identity, important metadata, state and available actions remain available in both layouts; spacing remains readable; active search and filters are retained; switching views does not move the user to unrelated content.</t>
  </si>
  <si>
    <t>Visual consistency</t>
  </si>
  <si>
    <t>Side-by-side screenshot and manual comparison.</t>
  </si>
  <si>
    <t>@non-functional @regression @manual @tools @visual-consistency</t>
  </si>
  <si>
    <t>TL-UX-009</t>
  </si>
  <si>
    <t>Tool cards</t>
  </si>
  <si>
    <t>Render long and international card content safely</t>
  </si>
  <si>
    <t>Verify that long text, Unicode and emoji do not break tool cards or hide actions.</t>
  </si>
  <si>
    <t>1. A safely seeded tool contains a long name, purpose and keywords with Unicode and emoji.</t>
  </si>
  <si>
    <t xml:space="preserve">1. Locate the seeded tool in each supported layout.
2. Inspect wrapping or truncation for every long value.
3. Use mouse and keyboard to access the complete value and available actions.</t>
  </si>
  <si>
    <t>A 120-character name, 500-character purpose, long keywords, accented text, CJK characters and emoji.</t>
  </si>
  <si>
    <t>Text does not overlap the card or its actions; truncation is consistent; complete meaningful text is available through an accessible tooltip or detail view; Unicode has no replacement characters; every action remains usable.</t>
  </si>
  <si>
    <t>Content resilience</t>
  </si>
  <si>
    <t>Manual visual, mouse and keyboard review at two desktop widths.</t>
  </si>
  <si>
    <t>DEV or UAT using approved synthetic test content.</t>
  </si>
  <si>
    <t>@non-functional @regression @a11y @content-resilience @manual @tools</t>
  </si>
  <si>
    <t>TL-UX-010</t>
  </si>
  <si>
    <t>Make card actions discoverable and safe to activate</t>
  </si>
  <si>
    <t>Confirm that card actions have clear affordances, accessible names and usable hit targets.</t>
  </si>
  <si>
    <t>1. At least one visible tool is editable by the signed-in user.</t>
  </si>
  <si>
    <t xml:space="preserve">1. Hover each action exposed by the tool card.
2. Tab through the same actions and inspect focus indicators and accessible names.
3. Activate Edit using the keyboard and then return to the list.</t>
  </si>
  <si>
    <t>Chrome at 1440 x 900; one editable tool card.</t>
  </si>
  <si>
    <t>Hover and focus states are visible; icon-only controls have accessible names; targets are at least 24 by 24 CSS pixels; activating an action does not trigger an unrelated card action; any destructive action is visually distinct and requires confirmation.</t>
  </si>
  <si>
    <t>Usability and accessibility</t>
  </si>
  <si>
    <t>Mouse, keyboard and browser accessibility-tree inspection.</t>
  </si>
  <si>
    <t>@non-functional @regression @a11y @manual @tools @usability-and-accessibility</t>
  </si>
  <si>
    <t>TL-UX-011</t>
  </si>
  <si>
    <t>Create and edit wizard</t>
  </si>
  <si>
    <t>Communicate wizard hierarchy and progress</t>
  </si>
  <si>
    <t>Confirm that users understand their current step and available navigation throughout the wizard.</t>
  </si>
  <si>
    <t>1. The Tools page is open and Create Tool is available.</t>
  </si>
  <si>
    <t xml:space="preserve">1. Open Create Tool and review the dialog title and all step labels.
2. Move from Information to API Details and then to Access.
3. Move backward once and compare current, completed and upcoming step states.</t>
  </si>
  <si>
    <t>Create wizard at 1366 x 768 using minimal valid synthetic inputs.</t>
  </si>
  <si>
    <t>The dialog clearly identifies Create Tool; Information, API Details and Access appear in logical order; current, completed and upcoming states are distinguishable without color alone; the visible panel matches the selected step; navigation actions remain consistently placed.</t>
  </si>
  <si>
    <t>Wizard usability</t>
  </si>
  <si>
    <t>Manual visual and interaction review.</t>
  </si>
  <si>
    <t>@non-functional @regression @manual @tools @wizard-usability</t>
  </si>
  <si>
    <t>TL-UX-012</t>
  </si>
  <si>
    <t>Wizard focus management</t>
  </si>
  <si>
    <t>Manage focus correctly when the wizard opens and closes</t>
  </si>
  <si>
    <t>Prevent keyboard focus from becoming lost or reaching background content while the wizard is open.</t>
  </si>
  <si>
    <t>1. The Create Tool button is visible and focused.</t>
  </si>
  <si>
    <t xml:space="preserve">1. Open the wizard using Enter.
2. Tab through all interactive controls and attempt to move beyond the last control.
3. Cancel the wizard using the keyboard.</t>
  </si>
  <si>
    <t>Chrome at 1440 x 900; keyboard only.</t>
  </si>
  <si>
    <t>Focus enters the dialog at its heading or first logical field; background controls cannot receive focus while the modal is open; focus cycles predictably; closing returns focus to Create Tool.</t>
  </si>
  <si>
    <t>Accessibility</t>
  </si>
  <si>
    <t>Keyboard-only review with visible focus tracking.</t>
  </si>
  <si>
    <t>@non-functional @regression @a11y @accessibility @manual @tools</t>
  </si>
  <si>
    <t>TL-UX-013</t>
  </si>
  <si>
    <t>Keyboard operation</t>
  </si>
  <si>
    <t>Complete every wizard step without a mouse</t>
  </si>
  <si>
    <t>Ensure all wizard inputs, tabs, selects, editors and actions are operable by keyboard.</t>
  </si>
  <si>
    <t xml:space="preserve">1. Valid approved synthetic tool data is available.
2. The create wizard is open.</t>
  </si>
  <si>
    <t xml:space="preserve">1. Complete Information using only the keyboard.
2. Operate API Details selects and JSON editors using standard keyboard commands.
3. Reach Access, then operate Back, Next and Cancel with Enter or Space.</t>
  </si>
  <si>
    <t>Keyboard keys: Tab, Shift+Tab, arrows, Enter, Space, Escape and editor exit shortcut.</t>
  </si>
  <si>
    <t>Focus order follows the visual order and is always visible; selects, tabs and buttons use standard keys; editors provide a documented way to move focus out; no keyboard trap, unintended dismissal or unintended submission occurs.</t>
  </si>
  <si>
    <t>Keyboard-only end-to-end review.</t>
  </si>
  <si>
    <t>TL-UX-014</t>
  </si>
  <si>
    <t>Wizard dismissal</t>
  </si>
  <si>
    <t>Protect unsaved drafts from accidental loss</t>
  </si>
  <si>
    <t>Verify that every supported dismissal route handles unsaved changes consistently and safely.</t>
  </si>
  <si>
    <t>1. The create wizard is open with unique unsaved values in multiple fields.</t>
  </si>
  <si>
    <t xml:space="preserve">1. Attempt to leave using Cancel, the close icon, Escape, an outside click and browser Back separately.
2. Choose Keep Editing when prompted and verify the draft.
3. Repeat and choose Discard.</t>
  </si>
  <si>
    <t>Unique unsaved marker: QA-UNSAVED-TL-UX-014.</t>
  </si>
  <si>
    <t>Every supported dismissal route behaves consistently; unsaved changes trigger a confirmation; Keep Editing preserves all values and focus; Discard closes without saving; an outside click cannot silently erase entered work.</t>
  </si>
  <si>
    <t>Data-loss prevention</t>
  </si>
  <si>
    <t>Manual interaction review with screenshot evidence for the confirmation.</t>
  </si>
  <si>
    <t>@non-functional @regression @data-loss-prevention @manual @tools</t>
  </si>
  <si>
    <t>TL-UX-015</t>
  </si>
  <si>
    <t>Information validation</t>
  </si>
  <si>
    <t>Present clear and accessible required-field errors</t>
  </si>
  <si>
    <t>Assess the quality and accessibility of validation feedback rather than only whether invalid navigation is blocked.</t>
  </si>
  <si>
    <t>1. A new create wizard is open on Information with all required fields empty.</t>
  </si>
  <si>
    <t xml:space="preserve">1. Review how required fields are indicated before submission.
2. Select Next while all required fields are empty.
3. Inspect each error visually and in the browser accessibility tree.</t>
  </si>
  <si>
    <t>Empty Tool Name, Purpose and Keywords fields.</t>
  </si>
  <si>
    <t>Each invalid field has a nearby specific message; required state is communicated before submission; focus moves to the first invalid field; invalid fields expose an accessible invalid state and associated description; errors are not communicated by color or a generic toast alone.</t>
  </si>
  <si>
    <t>Validation and accessibility</t>
  </si>
  <si>
    <t>Manual visual, keyboard and accessibility-tree review.</t>
  </si>
  <si>
    <t>@non-functional @regression @a11y @manual @tools @validation-and-accessibility</t>
  </si>
  <si>
    <t>TL-UX-016</t>
  </si>
  <si>
    <t>Validation recovery</t>
  </si>
  <si>
    <t>Clear validation feedback progressively without data loss</t>
  </si>
  <si>
    <t>Ensure that correcting one field clears only its own error and preserves all other entered values.</t>
  </si>
  <si>
    <t>1. Multiple Information field errors are currently displayed.</t>
  </si>
  <si>
    <t xml:space="preserve">1. Correct one invalid field and move focus away from it.
2. Review that field and all remaining invalid fields.
3. Correct the remaining fields one at a time and select Next.</t>
  </si>
  <si>
    <t>Valid synthetic name, purpose and keywords entered one field at a time.</t>
  </si>
  <si>
    <t>Only the corrected field error clears; unresolved errors remain visible; valid values are never erased; caret and focus remain stable; the wizard advances once every requirement is satisfied.</t>
  </si>
  <si>
    <t>Validation UX</t>
  </si>
  <si>
    <t>Manual interaction and focus review.</t>
  </si>
  <si>
    <t>@non-functional @regression @a11y @manual @tools @validation-ux</t>
  </si>
  <si>
    <t>TL-UX-017</t>
  </si>
  <si>
    <t>Keyword editor</t>
  </si>
  <si>
    <t>Communicate the keyword character limit before blocking input</t>
  </si>
  <si>
    <t>Verify that the 300-character limit and remaining capacity are understandable visually and with assistive technology.</t>
  </si>
  <si>
    <t>1. The create wizard is open on Information.</t>
  </si>
  <si>
    <t xml:space="preserve">1. Enter keyword values of 280, 299 and 300 characters.
2. Paste a 301-character value.
3. Review counter updates visually and with a screen reader.</t>
  </si>
  <si>
    <t>Keyword strings containing exactly 280, 299, 300 and 301 characters.</t>
  </si>
  <si>
    <t>The count is accurate at each checkpoint; the maximum is clearly stated; a visible warning appears near the limit; overflow is rejected or explained without altering earlier text; meaningful limit status is available to assistive technology; the counter causes no layout shift.</t>
  </si>
  <si>
    <t>Manual counting, visual review and NVDA announcement check.</t>
  </si>
  <si>
    <t>TL-UX-018</t>
  </si>
  <si>
    <t>Endpoint validation</t>
  </si>
  <si>
    <t>Explain endpoint requirements and correction clearly</t>
  </si>
  <si>
    <t>Confirm that users receive actionable endpoint guidance rather than a silent navigation block.</t>
  </si>
  <si>
    <t>1. The create wizard is open on API Details with other required values valid.</t>
  </si>
  <si>
    <t xml:space="preserve">1. Focus the endpoint field and review its label, example and help text.
2. Submit a missing-scheme URL, an HTTP URL and a URL containing embedded credentials separately.
3. Replace the invalid value with a valid HTTPS endpoint.</t>
  </si>
  <si>
    <t>api.example.com/tools; http://example.com/tools; https://user:pass@example.com/tools; https://api.example.com/tools.</t>
  </si>
  <si>
    <t>The field has a persistent label and useful example; each error explains the violated rule and how to fix it; no raw parser or stack detail appears; entering the valid endpoint clears the error without clearing other API Details.</t>
  </si>
  <si>
    <t>Manual content, visual and accessibility review.</t>
  </si>
  <si>
    <t>Non-Functional, Regression, Accessibility, API</t>
  </si>
  <si>
    <t>@non-functional @regression @a11y @api @manual @tools @validation-ux</t>
  </si>
  <si>
    <t>TL-UX-019</t>
  </si>
  <si>
    <t>JSON editors</t>
  </si>
  <si>
    <t>Differentiate and keep all JSON editors readable</t>
  </si>
  <si>
    <t>Ensure Header, Payload and Schema editors remain understandable with large structured content.</t>
  </si>
  <si>
    <t xml:space="preserve">1. The create wizard is open on API Details.
2. Formatted nested JSON of at least 100 lines is available.</t>
  </si>
  <si>
    <t xml:space="preserve">1. Paste representative multiline content into Header, Payload and Schema editors.
2. Scroll each editor vertically and horizontally.
3. Select text near the beginning and end of each editor.</t>
  </si>
  <si>
    <t>Three valid, formatted nested JSON samples of at least 100 lines.</t>
  </si>
  <si>
    <t>Each editor has a persistent unique label and explanation; a legible monospace font is used; indentation and newlines remain intact; caret and selection remain visible; each editor scrolls independently; content, labels and validation text do not overlap.</t>
  </si>
  <si>
    <t>Editor usability</t>
  </si>
  <si>
    <t>Manual visual and interaction review with screenshots.</t>
  </si>
  <si>
    <t>Non-Functional, Regression, API</t>
  </si>
  <si>
    <t>@non-functional @regression @api @editor-usability @manual @tools</t>
  </si>
  <si>
    <t>TL-UX-020</t>
  </si>
  <si>
    <t>JSON validation feedback</t>
  </si>
  <si>
    <t>Localize JSON syntax errors for quick correction</t>
  </si>
  <si>
    <t>Verify that malformed JSON feedback identifies both the affected editor and exact error location.</t>
  </si>
  <si>
    <t>1. Valid data is present in all API Details editors.</t>
  </si>
  <si>
    <t xml:space="preserve">1. Introduce a syntax error around line 7 of Header JSON and select Next.
2. Repeat the same review for Payload JSON and Schema JSON.
3. Correct each syntax error and observe the validation state.</t>
  </si>
  <si>
    <t>Multiline JSON with a missing comma or closing quote on line 7.</t>
  </si>
  <si>
    <t>The affected editor is explicitly named; the exact line or token is highlighted or reported; focus moves to the invalid editor; original text is retained; the error is announced to assistive technology; correction clears the message without changing other editors.</t>
  </si>
  <si>
    <t>Manual correction, focus review and accessibility-tree inspection.</t>
  </si>
  <si>
    <t>TL-UX-021</t>
  </si>
  <si>
    <t>JSON editor interaction</t>
  </si>
  <si>
    <t>Preserve JSON during clipboard, undo and keyboard operations</t>
  </si>
  <si>
    <t>Verify that standard editing operations are predictable and cannot silently corrupt structured content.</t>
  </si>
  <si>
    <t>1. API Details is open with valid multiline JSON in an editor.</t>
  </si>
  <si>
    <t xml:space="preserve">1. Copy and paste multiline JSON within the editor.
2. Use Select All, Undo and Redo.
3. Use Home, End, Tab and Shift+Tab, then move focus out of the editor.</t>
  </si>
  <si>
    <t>Formatted nested JSON containing strings, numbers, booleans, arrays and null.</t>
  </si>
  <si>
    <t>Clipboard content remains equivalent apart from documented formatting; no smart quotes or missing line breaks appear; Undo and Redo restore exact states; navigation shortcuts behave predictably; a documented keyboard route exits the editor without data loss.</t>
  </si>
  <si>
    <t>Keyboard-only editing and before-versus-after content comparison.</t>
  </si>
  <si>
    <t>@non-functional @regression @a11y @api @editor-usability @manual @tools</t>
  </si>
  <si>
    <t>TL-UX-022</t>
  </si>
  <si>
    <t>Generate Schema</t>
  </si>
  <si>
    <t>Show schema-generation progress and completion clearly</t>
  </si>
  <si>
    <t>Verify that long-running schema generation gives immediate feedback and prevents duplicate submissions.</t>
  </si>
  <si>
    <t xml:space="preserve">1. A valid nested payload is entered on API Details.
2. Network throttling is available.</t>
  </si>
  <si>
    <t xml:space="preserve">1. Enable network throttling.
2. Activate Generate Schema twice in quick succession.
3. Observe the button, editors and status feedback until generation finishes.</t>
  </si>
  <si>
    <t>Valid nested JSON payload; Slow 3G network profile.</t>
  </si>
  <si>
    <t>A busy state begins after the first activation; repeat submission is disabled or deduplicated; one result appears in the Schema editor; no stale schema flashes; endpoint, header and payload remain unchanged; completion is visibly indicated and announced.</t>
  </si>
  <si>
    <t>Transaction feedback</t>
  </si>
  <si>
    <t>Network throttling, request count, screen recording and assistive announcement review.</t>
  </si>
  <si>
    <t>DEV for controlled throttling; confirm completion feedback in UAT.</t>
  </si>
  <si>
    <t>@non-functional @regression @manual @tools @transaction-feedback</t>
  </si>
  <si>
    <t>TL-UX-023</t>
  </si>
  <si>
    <t>Recover from schema-generation failure without losing the draft</t>
  </si>
  <si>
    <t>Confirm that failed generation retains user input and provides a safe retry path.</t>
  </si>
  <si>
    <t xml:space="preserve">1. A valid payload and an existing schema value are present.
2. The generation operation can be failed once in a controlled environment.</t>
  </si>
  <si>
    <t xml:space="preserve">1. Force schema generation to fail and activate Generate Schema.
2. Review the error state and all entered values.
3. Restore the operation and activate Retry.</t>
  </si>
  <si>
    <t>One simulated network or server failure followed by a successful retry.</t>
  </si>
  <si>
    <t>A specific recoverable error appears without internal details; the previous schema is not represented as newly generated; all inputs remain unchanged; Retry is available and succeeds once; no duplicate schema result is created.</t>
  </si>
  <si>
    <t>Request interception, content comparison and manual visual review.</t>
  </si>
  <si>
    <t>DEV only for fault injection; confirm standard error copy in UAT.</t>
  </si>
  <si>
    <t>@non-functional @regression @manual @resilience @tools</t>
  </si>
  <si>
    <t>TL-UX-024</t>
  </si>
  <si>
    <t>Payload format</t>
  </si>
  <si>
    <t>Provide contextual guidance for every payload format</t>
  </si>
  <si>
    <t>Verify that JSON, XML, Form Data and Parameters modes use appropriate labels, examples and validation.</t>
  </si>
  <si>
    <t xml:space="preserve">1. The create wizard is open on API Details.
2. Unsaved representative content is available for each payload format.</t>
  </si>
  <si>
    <t xml:space="preserve">1. Select JSON, XML, Form Data and Parameters one at a time.
2. Review the labels, examples, editor presentation and validation in each mode.
3. Switch away from a mode containing unsaved content and then return to it.</t>
  </si>
  <si>
    <t>One small valid example for JSON, XML, Form Data and query-style Parameters.</t>
  </si>
  <si>
    <t>The active format is prominent; labels and examples match the selected format; JSON-specific errors are not applied to other modes; incompatible content is not silently cleared or converted; a destructive format switch requires a clear warning.</t>
  </si>
  <si>
    <t>Guidance and usability</t>
  </si>
  <si>
    <t>Manual content, interaction and visual review.</t>
  </si>
  <si>
    <t>@non-functional @regression @guidance-and-usability @manual @tools</t>
  </si>
  <si>
    <t>TL-UX-025</t>
  </si>
  <si>
    <t>Access selection</t>
  </si>
  <si>
    <t>Make access search and selected users unambiguous</t>
  </si>
  <si>
    <t>Confirm that users can distinguish, select and remove people safely, including users with similar names.</t>
  </si>
  <si>
    <t xml:space="preserve">1. The test directory contains two eligible users with similar names.
2. The wizard is open on Access.</t>
  </si>
  <si>
    <t xml:space="preserve">1. Search for both similarly named users and compare the result details.
2. Select both users and attempt to select one again.
3. Remove one selected user using the keyboard.</t>
  </si>
  <si>
    <t>Two approved test users with similar display names and distinct email addresses.</t>
  </si>
  <si>
    <t>Results expose enough identity information to choose safely; Owner is visually distinct and cannot be accidentally removed; selected users and count update immediately; duplicate selection is prevented; Remove has an accessible name; the interaction works by keyboard.</t>
  </si>
  <si>
    <t>Access usability</t>
  </si>
  <si>
    <t>DEV or UAT with approved test-directory users.</t>
  </si>
  <si>
    <t>@non-functional @regression @a11y @access-usability @manual @tools</t>
  </si>
  <si>
    <t>TL-UX-026</t>
  </si>
  <si>
    <t>Screen-reader semantics</t>
  </si>
  <si>
    <t>Expose meaningful structure and status announcements</t>
  </si>
  <si>
    <t>Verify that Tools and its wizard can be understood and operated without sight.</t>
  </si>
  <si>
    <t xml:space="preserve">1. NVDA and Chrome are available.
2. The signed-in user can open and exercise the create wizard.</t>
  </si>
  <si>
    <t xml:space="preserve">1. Traverse the Tools page using headings, landmarks and form-control navigation.
2. Open the wizard and navigate its steps, fields and icon buttons.
3. Trigger validation, loading, success and recoverable error feedback.</t>
  </si>
  <si>
    <t>Current NVDA release with Chrome at 100 percent zoom.</t>
  </si>
  <si>
    <t>The page title and heading are meaningful; the dialog has an accessible name; wizard steps expose their selected state; fields, required state and errors are announced; icon buttons have names; loading, success and error messages are announced once in logical DOM order.</t>
  </si>
  <si>
    <t>NVDA screen-reader walkthrough and browser accessibility-tree inspection.</t>
  </si>
  <si>
    <t>TL-UX-027</t>
  </si>
  <si>
    <t>Visual accessibility</t>
  </si>
  <si>
    <t>Maintain contrast, focus and forced-colors visibility</t>
  </si>
  <si>
    <t>Ensure that text, state and controls remain perceivable under accessibility display settings.</t>
  </si>
  <si>
    <t>1. A contrast analyzer and Windows High Contrast or forced-colors mode are available.</t>
  </si>
  <si>
    <t xml:space="preserve">1. Measure text, placeholder, border, link, error, active-filter, tab and focus-indicator contrast.
2. Enable Windows forced-colors mode.
3. Repeat the review on the page and every wizard step.</t>
  </si>
  <si>
    <t>Chrome at 1440 x 900 in normal colors and Windows forced-colors mode.</t>
  </si>
  <si>
    <t>Normal text meets 4.5 to 1 contrast; large text and UI boundaries meet 3 to 1; focus indicators remain visible; selected and error states do not rely on color alone; icons, editors and primary actions remain visible in forced-colors mode.</t>
  </si>
  <si>
    <t>Contrast analyzer, forced-colors mode and manual visual review.</t>
  </si>
  <si>
    <t>TL-UX-028</t>
  </si>
  <si>
    <t>Responsive layout and reflow</t>
  </si>
  <si>
    <t>Keep the page and wizard usable at supported widths and 200 percent zoom</t>
  </si>
  <si>
    <t>Verify that content reflows without loss, overlap or inaccessible actions.</t>
  </si>
  <si>
    <t xml:space="preserve">1. Chrome responsive mode and browser zoom controls are available.
2. The business contains several tools and Create Tool is available.</t>
  </si>
  <si>
    <t xml:space="preserve">1. Review Tools at 1440 x 900, 1024 x 768, 768 x 1024 and 390 x 844.
2. Review the page at 1280 x 720 with browser zoom set to 200 percent.
3. Open every wizard step at the narrowest supported layout and scroll to its footer.</t>
  </si>
  <si>
    <t>Viewports: 1440 x 900, 1024 x 768, 768 x 1024, 390 x 844; 1280 x 720 at 200 percent zoom.</t>
  </si>
  <si>
    <t>Navigation, filters, cards and wizard controls do not overlap or disappear; controls wrap logically; primary actions remain reachable; page-level two-dimensional scrolling is unnecessary except inside code editors; focused controls are not hidden by sticky headers or footers.</t>
  </si>
  <si>
    <t>Responsive accessibility</t>
  </si>
  <si>
    <t>Chrome responsive mode, 200 percent zoom and screenshot comparison.</t>
  </si>
  <si>
    <t>DEV first; repeat supported breakpoints in UAT before release.</t>
  </si>
  <si>
    <t>Non-Functional, Regression, Accessibility, Responsive</t>
  </si>
  <si>
    <t>@non-functional @regression @a11y @responsive @manual @responsive-accessibility @tools</t>
  </si>
  <si>
    <t>TL-UX-029</t>
  </si>
  <si>
    <t>Create confirmation</t>
  </si>
  <si>
    <t>Communicate create progress, success and recoverable failure</t>
  </si>
  <si>
    <t>Verify that create submission gives unambiguous status and cannot produce duplicate or phantom tools.</t>
  </si>
  <si>
    <t xml:space="preserve">1. Unique valid synthetic tool data is available.
2. The create request can be throttled and failed once in a controlled environment.</t>
  </si>
  <si>
    <t xml:space="preserve">1. Complete the wizard with valid values.
2. Throttle the request and activate Create twice quickly.
3. Observe the successful completion and resulting card.
4. Repeat with a different draft while forcing one failure, then restore the request and retry.</t>
  </si>
  <si>
    <t>Two unique synthetic tool names; one slow successful request and one failed-then-successful request.</t>
  </si>
  <si>
    <t>The first activation immediately produces a busy or disabled state; only one request and one tool are created; success feedback identifies the new tool and the wizard closes only after persistence; failure retains all values, explains retry, creates no phantom card and retry creates exactly one tool.</t>
  </si>
  <si>
    <t>Network throttling, request count, screen recording and list comparison.</t>
  </si>
  <si>
    <t>DEV for failure injection; confirm successful feedback in UAT. LIVE only with approved synthetic data.</t>
  </si>
  <si>
    <t>TL-UX-030</t>
  </si>
  <si>
    <t>Update confirmation</t>
  </si>
  <si>
    <t>Communicate update progress, success and recoverable failure</t>
  </si>
  <si>
    <t>Verify that an update cannot double-submit or expose partially saved and stale values.</t>
  </si>
  <si>
    <t xml:space="preserve">1. An existing approved synthetic tool can be edited.
2. The update request can be throttled and failed once in a controlled environment.</t>
  </si>
  <si>
    <t xml:space="preserve">1. Edit a clearly visible value on the synthetic tool.
2. Throttle the request and activate Update twice quickly.
3. Confirm the successful notification and updated card.
4. Make another edit, force the update to fail, inspect the list, then restore the request and retry.</t>
  </si>
  <si>
    <t>One synthetic tool; two distinct purpose values; one slow success and one failed-then-successful update.</t>
  </si>
  <si>
    <t>Update becomes busy and cannot double-submit; success feedback identifies the updated tool; the existing card changes without a duplicate; a failed update retains unsaved values and shows a recoverable message; the list shows the last saved version until retry succeeds.</t>
  </si>
  <si>
    <t>Network throttling, request count, screenshots and saved-versus-unsaved comparison.</t>
  </si>
  <si>
    <t>TL-UX-031</t>
  </si>
  <si>
    <t>UI performance budget</t>
  </si>
  <si>
    <t>Meet measurable page and interaction performance budgets</t>
  </si>
  <si>
    <t>Quantify perceived Tools performance under a repeatable workload and prevent regressions that loading-state inspection alone cannot detect.</t>
  </si>
  <si>
    <t xml:space="preserve">1. A stable test workstation, pinned Chrome version and controlled Fast 4G network profile are available.
2. The selected QA business contains 100 representative tools and no background import or cleanup job is running.
3. Browser extensions are disabled and the viewport is fixed at 1440 x 900.</t>
  </si>
  <si>
    <t xml:space="preserve">1. Record the browser version, machine profile, fixture count, viewport and network settings in the evidence log.
2. Run five cold-cache and five warm-cache Tools navigations, collecting Largest Contentful Paint and Cumulative Layout Shift for every run.
3. Across at least 20 samples, operate search, scope and date filters, grid/list switching and Create Tool, collecting Interaction to Next Paint and time to visible UI completion.
4. Inspect the browser Performance trace for main-thread long tasks during page load and the interaction sequence.
5. Calculate the 75th percentile for Web Vitals and the 95th percentile for the measured interaction completion times.</t>
  </si>
  <si>
    <t>100-tool fixture; Chrome pinned version; 1440 x 900; controlled Fast 4G; five cold loads, five warm loads and at least 20 representative interactions.</t>
  </si>
  <si>
    <t>At the 75th percentile, LCP is at most 2.5 seconds, INP is at most 200 milliseconds and CLS is at most 0.10; at the 95th percentile, search, filter and layout changes visibly complete within 500 milliseconds and the wizard opens within 800 milliseconds; feedback begins within 100 milliseconds; no unexplained main-thread task exceeds 200 milliseconds; raw measurements and traces are attached.</t>
  </si>
  <si>
    <t>Performance</t>
  </si>
  <si>
    <t>Chrome Performance panel, Web Vitals capture and a repeatable measurement worksheet using percentile calculations.</t>
  </si>
  <si>
    <t>DEV for baseline calibration; UAT as the release-gate measurement environment.</t>
  </si>
  <si>
    <t>Non-Functional, Regression, Performance</t>
  </si>
  <si>
    <t>@non-functional @regression @performance @manual @tools</t>
  </si>
  <si>
    <t>TL-UX-032</t>
  </si>
  <si>
    <t>Visual regression baseline</t>
  </si>
  <si>
    <t>Review deterministic screenshot baselines for critical Tools states</t>
  </si>
  <si>
    <t>Establish and review reproducible visual references that reveal unintended layout, typography, state and theme changes.</t>
  </si>
  <si>
    <t xml:space="preserve">1. The approved deterministic Tools fixture and pinned browser, font and operating-system image are available.
2. Animations and caret blinking can be disabled and dynamic timestamps can be masked using documented selectors.
3. An approved prior baseline exists, or this run has formal approval to create the first baseline.</t>
  </si>
  <si>
    <t xml:space="preserve">1. Load the fixed fixture, wait for fonts and stable network activity, disable animations and confirm the same browser scale on every run.
2. Capture named screenshots for grid, list, no-results, loading and recoverable-error states at 1440 x 900 and 390 x 844 in light and dark themes.
3. Capture the Information, API Details and Access wizard steps, required-field validation, generated-schema state and delete confirmation without persisting destructive changes.
4. Compare each image with its matching baseline using a pixel-diff overlay, then manually review spacing, typography, focus, clipping and color changes.
5. Classify every difference as defect, approved design change or documented dynamic mask; rebaseline only after design-owner approval.</t>
  </si>
  <si>
    <t>Pinned Chrome/OS/font image; fixed Tools fixture; light and dark themes; viewports 1440 x 900 and 390 x 844; documented dynamic masks only.</t>
  </si>
  <si>
    <t>Every required state produces a correctly named deterministic image; stable regions remain within a 0.10 percent pixel-difference threshold; there are no unexplained diffs, missing captures, clipped controls or unapproved masks; approved changes include reviewer, reason and date before the baseline is replaced.</t>
  </si>
  <si>
    <t>Visual regression</t>
  </si>
  <si>
    <t>Automated pixel-diff output followed by human overlay review and design-owner baseline approval.</t>
  </si>
  <si>
    <t>DEV for baseline generation; UAT for release-candidate comparison.</t>
  </si>
  <si>
    <t>Non-Functional, Regression, Visual Regression</t>
  </si>
  <si>
    <t>@non-functional @regression @visual-regression @manual @tools</t>
  </si>
  <si>
    <t>TL-UX-033</t>
  </si>
  <si>
    <t>Localization and internationalization</t>
  </si>
  <si>
    <t>Support translated copy, text expansion and bidirectional layouts</t>
  </si>
  <si>
    <t>Verify the complete Tools interface can accommodate localization without confusing technical values or breaking layout and accessibility.</t>
  </si>
  <si>
    <t xml:space="preserve">1. Pseudo-locales supporting approximately 35 percent text expansion and right-to-left direction are available.
2. The browser locale, time zone and language can be changed in a controlled test environment.
3. The tester can open every Tools page and wizard state without saving production data.</t>
  </si>
  <si>
    <t xml:space="preserve">1. Run the Tools list, filters, card actions and every wizard step using the expanded pseudo-locale and inspect all headings, labels, helper text, validation and notifications.
2. Repeat the same path using the right-to-left pseudo-locale and inspect reading order, alignment, icon direction and keyboard focus order.
3. Switch among en-US, de-DE and hi-IN and inspect Created On values, number formatting, sorting labels and any locale-sensitive messages.
4. Verify URLs, HTTP methods, JSON, headers, schema and code-like values retain their required left-to-right technical representation inside localized surrounding copy.
5. Use a screen reader to compare visible labels with accessible names and search the rendered UI for raw translation keys or fallback tokens.</t>
  </si>
  <si>
    <t>Expanded pseudo-locale at 35 percent; RTL pseudo-locale; locales en-US, de-DE and hi-IN; representative URL, JSON, headers and validation states.</t>
  </si>
  <si>
    <t>No text is clipped, overlapped or replaced by raw translation keys; controls expand or wrap without hiding actions; RTL reading and focus order are logical; directional icons mirror only when semantically required; dates and numbers follow the active locale; technical values remain intact and readable left-to-right; visible and accessible labels use the same language and meaning.</t>
  </si>
  <si>
    <t>Localization</t>
  </si>
  <si>
    <t>Pseudo-localization, RTL, locale-switching, responsive visual inspection and screen-reader label comparison.</t>
  </si>
  <si>
    <t>DEV for pseudo-locales; UAT for approved translated locale verification.</t>
  </si>
  <si>
    <t>Non-Functional, Regression, Responsive, Localization</t>
  </si>
  <si>
    <t>@non-functional @regression @responsive @localization @manual @tools</t>
  </si>
  <si>
    <t>TL-UX-034</t>
  </si>
  <si>
    <t>Exploratory UAT charter</t>
  </si>
  <si>
    <t>Explore a realistic administrator Tools journey before release</t>
  </si>
  <si>
    <t>Discover workflow, trust, comprehension and recovery problems outside scripted assertions through a focused UAT session.</t>
  </si>
  <si>
    <t xml:space="preserve">1. A release-candidate build is deployed to UAT with representative but non-sensitive business data.
2. A business-administrator tester has permission to create, edit and clean up timestamped synthetic tools.
3. The tester has a 90-minute uninterrupted session, evidence template and defect tracker access.</t>
  </si>
  <si>
    <t xml:space="preserve">1. Read the charter: evaluate whether a first-time administrator can find an existing tool, understand its purpose and safely configure a new API tool for a teammate.
2. Spend 15 minutes learning the page naturally, noting terminology, information scent, unexpected affordances and questions without following existing scripts.
3. Spend 45 minutes creating and refining one timestamped synthetic tool, varying navigation order, realistic JSON, access choices, browser width and recoverable mistakes according to observations.
4. Spend 15 minutes revisiting the tool through search, filters, layouts and edit actions, looking for stale state, inconsistent copy, weak feedback and loss-of-context risks.
5. Spend 15 minutes cleaning up approved test data and debriefing findings with timestamps, screenshots, reproduction notes, affected persona, impact and confidence.</t>
  </si>
  <si>
    <t>Persona: first-time business administrator; 90-minute charter; one timestamped synthetic API tool; approved QA teammate; desktop and narrow-browser exploration.</t>
  </si>
  <si>
    <t>The mission can be completed without undocumented assistance or irreversible production impact; the session log records areas covered and skipped; every observation is classified as defect, usability concern, question or positive finding; reproducible issues include evidence and severity; no untriaged Critical or release-blocking Major issue remains; all session-owned data is cleaned up or explicitly handed over.</t>
  </si>
  <si>
    <t>Exploratory UAT</t>
  </si>
  <si>
    <t>Session-based exploratory testing using tours, error guessing, consistency heuristics and a structured stakeholder debrief.</t>
  </si>
  <si>
    <t>UAT release candidate only; DEV may be used beforehand to prepare fixtures and the charter.</t>
  </si>
  <si>
    <t>Non-Functional, Regression, Exploratory, UAT</t>
  </si>
  <si>
    <t>@non-functional @regression @exploratory @uat @exploratory-uat @manual @tools</t>
  </si>
  <si>
    <t>Tools Coverage Summary</t>
  </si>
  <si>
    <t>Automated functionality and manual UI/UX review are tracked separately.</t>
  </si>
  <si>
    <t>Section</t>
  </si>
  <si>
    <t>Metric</t>
  </si>
  <si>
    <t>Count</t>
  </si>
  <si>
    <t>Meaning</t>
  </si>
  <si>
    <t>Overview</t>
  </si>
  <si>
    <t>Automated cases</t>
  </si>
  <si>
    <t>Current Playwright-covered behaviors.</t>
  </si>
  <si>
    <t>Manual UI/UX cases</t>
  </si>
  <si>
    <t>Human-observation and assistive-tool checks.</t>
  </si>
  <si>
    <t>Total documented cases</t>
  </si>
  <si>
    <t>Complete module test design in this workbook.</t>
  </si>
  <si>
    <t>Safety</t>
  </si>
  <si>
    <t>Automated write operations</t>
  </si>
  <si>
    <t>Automated cases that persist synthetic data.</t>
  </si>
  <si>
    <t>Manual cases awaiting execution.</t>
  </si>
  <si>
    <t>Pass</t>
  </si>
  <si>
    <t>Manual cases completed successfully.</t>
  </si>
  <si>
    <t>Fail</t>
  </si>
  <si>
    <t>Manual cases with observed defects.</t>
  </si>
  <si>
    <t>Priority coverage for P1.</t>
  </si>
  <si>
    <t>Priority coverage for P2.</t>
  </si>
  <si>
    <t>Severity coverage for Critical.</t>
  </si>
  <si>
    <t>Severity coverage for Major.</t>
  </si>
  <si>
    <t>Severity coverage for Minor.</t>
  </si>
  <si>
    <t>Test suite</t>
  </si>
  <si>
    <t>49 automated and 0 manual case(s) carry @functional.</t>
  </si>
  <si>
    <t>Non-Functional</t>
  </si>
  <si>
    <t>12 automated and 34 manual case(s) carry @non-functional.</t>
  </si>
  <si>
    <t>Smoke</t>
  </si>
  <si>
    <t>1 automated and 0 manual case(s) carry @smoke.</t>
  </si>
  <si>
    <t>Production Smoke</t>
  </si>
  <si>
    <t>1 automated and 0 manual case(s) carry @prod-smoke.</t>
  </si>
  <si>
    <t>Sanity</t>
  </si>
  <si>
    <t>4 automated and 0 manual case(s) carry @sanity.</t>
  </si>
  <si>
    <t>Regression</t>
  </si>
  <si>
    <t>49 automated and 34 manual case(s) carry @regression.</t>
  </si>
  <si>
    <t>End-to-End</t>
  </si>
  <si>
    <t>5 automated and 0 manual case(s) carry @e2e.</t>
  </si>
  <si>
    <t>Integration</t>
  </si>
  <si>
    <t>5 automated and 0 manual case(s) carry @integration.</t>
  </si>
  <si>
    <t>12 automated and 0 manual case(s) carry @security.</t>
  </si>
  <si>
    <t>0 automated and 17 manual case(s) carry @a11y.</t>
  </si>
  <si>
    <t>API</t>
  </si>
  <si>
    <t>23 automated and 3 manual case(s) carry @api.</t>
  </si>
  <si>
    <t>Responsive</t>
  </si>
  <si>
    <t>0 automated and 2 manual case(s) carry @responsive.</t>
  </si>
  <si>
    <t>Visual Regression</t>
  </si>
  <si>
    <t>0 automated and 1 manual case(s) carry @visual-regression.</t>
  </si>
  <si>
    <t>0 automated and 1 manual case(s) carry @performance.</t>
  </si>
  <si>
    <t>0 automated and 1 manual case(s) carry @localization.</t>
  </si>
  <si>
    <t>Exploratory</t>
  </si>
  <si>
    <t>0 automated and 1 manual case(s) carry @exploratory.</t>
  </si>
  <si>
    <t>UAT</t>
  </si>
  <si>
    <t>4 automated and 1 manual case(s) carry @uat.</t>
  </si>
  <si>
    <t>Assigned only when a specific failed case is rerun after a defect fix; intentionally zero at design time.</t>
  </si>
  <si>
    <t>Manual category</t>
  </si>
  <si>
    <t>Manual Access usability review coverage.</t>
  </si>
  <si>
    <t>Manual Accessibility review coverage.</t>
  </si>
  <si>
    <t>Manual Content resilience review coverage.</t>
  </si>
  <si>
    <t>Manual Data-loss prevention review coverage.</t>
  </si>
  <si>
    <t>Manual Editor usability review coverage.</t>
  </si>
  <si>
    <t>Manual Empty-state UX review coverage.</t>
  </si>
  <si>
    <t>Manual Exploratory UAT review coverage.</t>
  </si>
  <si>
    <t>Manual Feedback review coverage.</t>
  </si>
  <si>
    <t>Manual Filter UX review coverage.</t>
  </si>
  <si>
    <t>Manual Guidance and usability review coverage.</t>
  </si>
  <si>
    <t>Manual Localization review coverage.</t>
  </si>
  <si>
    <t>Manual Performance review coverage.</t>
  </si>
  <si>
    <t>Manual Resilience review coverage.</t>
  </si>
  <si>
    <t>Manual Responsive accessibility review coverage.</t>
  </si>
  <si>
    <t>Manual Search UX review coverage.</t>
  </si>
  <si>
    <t>Manual Transaction feedback review coverage.</t>
  </si>
  <si>
    <t>Manual Usability review coverage.</t>
  </si>
  <si>
    <t>Manual Usability and accessibility review coverage.</t>
  </si>
  <si>
    <t>Manual Validation and accessibility review coverage.</t>
  </si>
  <si>
    <t>Manual Validation UX review coverage.</t>
  </si>
  <si>
    <t>Manual Visual consistency review coverage.</t>
  </si>
  <si>
    <t>Manual Visual regression review coverage.</t>
  </si>
  <si>
    <t>Manual Wizard usability review coverage.</t>
  </si>
  <si>
    <t>Field</t>
  </si>
  <si>
    <t>Sheet</t>
  </si>
  <si>
    <t>Editable During Execution</t>
  </si>
  <si>
    <t>Required</t>
  </si>
  <si>
    <t>Description</t>
  </si>
  <si>
    <t>Example</t>
  </si>
  <si>
    <t>No</t>
  </si>
  <si>
    <t>Yes</t>
  </si>
  <si>
    <t>Unique Tools case reference used in evidence and defects.</t>
  </si>
  <si>
    <t>TL-001 / TL-UX-001</t>
  </si>
  <si>
    <t>Page section or user journey covered by the case.</t>
  </si>
  <si>
    <t>Tools navigation</t>
  </si>
  <si>
    <t>Why the case exists and what risk it addresses.</t>
  </si>
  <si>
    <t>Verify the interface remains understandable at 200% zoom.</t>
  </si>
  <si>
    <t>Required account, data or page state before execution.</t>
  </si>
  <si>
    <t>A valid authenticated session is available.</t>
  </si>
  <si>
    <t>Numbered actions written for a human reader.</t>
  </si>
  <si>
    <t xml:space="preserve">1. Open the module.
2. Use keyboard navigation.</t>
  </si>
  <si>
    <t>Readable rendering of the existing Excel-driven test data.</t>
  </si>
  <si>
    <t>Maximum length: 100</t>
  </si>
  <si>
    <t>Manual UI UX Cases</t>
  </si>
  <si>
    <t>Browser, viewport, zoom, assistive technology or content variant.</t>
  </si>
  <si>
    <t>Chrome, 1280×720, 200% zoom</t>
  </si>
  <si>
    <t>Observable outcome used to decide Pass or Fail.</t>
  </si>
  <si>
    <t>All controls remain visible and operable without overlap.</t>
  </si>
  <si>
    <t>Category / UX Category</t>
  </si>
  <si>
    <t>Functional grouping for automation or review discipline for manual UI/UX.</t>
  </si>
  <si>
    <t>How the UI/UX case should be evaluated.</t>
  </si>
  <si>
    <t>Keyboard-only and screen-reader review</t>
  </si>
  <si>
    <t>Execution/business priority from P0 (highest) through P3.</t>
  </si>
  <si>
    <t>Expected impact if the behavior fails.</t>
  </si>
  <si>
    <t>Confirms the case is implemented in Playwright.</t>
  </si>
  <si>
    <t>YES means the automation creates, updates, uploads or deletes synthetic data.</t>
  </si>
  <si>
    <t>Registry-derived reusable suite membership. Retest is defect-specific and is not assigned statically.</t>
  </si>
  <si>
    <t>Functional, Smoke, Regression</t>
  </si>
  <si>
    <t>Automated tags are synchronized to Playwright titles. Manual tags support test-management filtering and include @manual, module and UX-category tags.</t>
  </si>
  <si>
    <t>@non-functional @regression @manual @tools @accessibility</t>
  </si>
  <si>
    <t>Searchable catalog labels retained from the code-first case definitions; use Execution Tags for supported Playwright suite filters.</t>
  </si>
  <si>
    <t>flow, validation, tools</t>
  </si>
  <si>
    <t>Execution outcome selected from the dropdown.</t>
  </si>
  <si>
    <t>Not Run / Pass / Fail / Blocked</t>
  </si>
  <si>
    <t>When executed</t>
  </si>
  <si>
    <t>What was actually observed, including concise evidence references.</t>
  </si>
  <si>
    <t>Focus moved behind the modal.</t>
  </si>
  <si>
    <t>Executed By / On</t>
  </si>
  <si>
    <t>Executor name and execution date.</t>
  </si>
  <si>
    <t>QA User / 2026-09-21</t>
  </si>
  <si>
    <t>On failure</t>
  </si>
  <si>
    <t>Linked defect or issue identifier.</t>
  </si>
  <si>
    <t>BUG-1234</t>
  </si>
  <si>
    <t>Additional context, browser version or evidence location.</t>
  </si>
  <si>
    <t>Reproduced in Chrome and Firefox.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</si>
</sst>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8"/>
    </font>
    <font>
      <i/>
      <color rgb="FF1F4E78"/>
      <sz val="11"/>
    </font>
    <font>
      <b/>
      <color rgb="FFFFFFFF"/>
      <sz val="10"/>
    </font>
    <font>
      <b/>
      <color rgb="FF17365D"/>
    </font>
    <font>
      <sz val="10"/>
    </font>
    <font>
      <sz val="9"/>
      <name val="Aptos"/>
    </font>
    <font>
      <b/>
    </font>
    <font>
      <b/>
      <color rgb="FF9C5700"/>
    </font>
    <font>
      <b/>
      <color rgb="FFFFFFFF"/>
      <sz val="17"/>
    </font>
    <font>
      <i/>
      <color rgb="FF1F4E78"/>
    </font>
    <font>
      <b/>
      <color rgb="FF548235"/>
    </font>
  </fonts>
  <fills count="7">
    <fill>
      <patternFill patternType="none"/>
    </fill>
    <fill>
      <patternFill patternType="gray125"/>
    </fill>
    <fill>
      <patternFill patternType="solid">
        <fgColor rgb="FF548235"/>
      </patternFill>
    </fill>
    <fill>
      <patternFill patternType="solid">
        <fgColor rgb="FFFCE4D6"/>
      </patternFill>
    </fill>
    <fill>
      <patternFill patternType="solid">
        <fgColor rgb="FFFFF2CC"/>
      </patternFill>
    </fill>
    <fill>
      <patternFill patternType="solid">
        <fgColor rgb="FFC65911"/>
      </patternFill>
    </fill>
    <fill>
      <patternFill patternType="solid">
        <fgColor rgb="FF0F6B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2" borderId="0" xfId="0" applyFont="1" applyFill="1" applyAlignment="1">
      <alignment horizontal="center" vertical="center" wrapText="1"/>
    </xf>
    <xf numFmtId="0" fontId="0" fillId="0" borderId="0" xfId="0"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7" fillId="3" borderId="0" xfId="0" applyFont="1" applyFill="1" applyAlignment="1">
      <alignment vertical="top" wrapText="1"/>
    </xf>
    <xf numFmtId="0" fontId="7" fillId="4" borderId="0" xfId="0" applyFont="1" applyFill="1" applyAlignment="1">
      <alignment vertical="top" wrapText="1"/>
    </xf>
    <xf numFmtId="0" fontId="5" fillId="3" borderId="0" xfId="0" applyFont="1" applyFill="1" applyAlignment="1">
      <alignment vertical="top" wrapText="1"/>
    </xf>
    <xf numFmtId="0" fontId="8" fillId="3" borderId="0" xfId="0" applyFont="1" applyFill="1" applyAlignment="1">
      <alignment vertical="top" wrapText="1"/>
    </xf>
    <xf numFmtId="0" fontId="3" fillId="5" borderId="0" xfId="0" applyFont="1" applyFill="1" applyAlignment="1">
      <alignment horizontal="center" vertical="center" wrapText="1"/>
    </xf>
    <xf numFmtId="0" fontId="5" fillId="4" borderId="0" xfId="0" applyFont="1" applyFill="1" applyAlignment="1">
      <alignment vertical="top" wrapText="1"/>
    </xf>
    <xf numFmtId="0" fontId="9" fillId="2" borderId="0" xfId="0" applyFont="1" applyFill="1" applyAlignment="1">
      <alignment horizontal="left" vertical="center"/>
    </xf>
    <xf numFmtId="0" fontId="10" fillId="0" borderId="0" xfId="0" applyFont="1"/>
    <xf numFmtId="0" fontId="0" fillId="0" borderId="0" xfId="0"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11" fillId="0" borderId="1" xfId="0" applyFont="1" applyBorder="1" applyAlignment="1">
      <alignment horizontal="center"/>
    </xf>
    <xf numFmtId="0" fontId="3"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oolsAutomatedCases" displayName="ToolsAutomatedCases" ref="A1:V50" totalsRowShown="1" headerRowCount="1">
  <autoFilter ref="A1:V5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Inputs" totalsRowFunction="none"/>
    <tableColumn id="10" name="Expected Result" totalsRowFunction="none"/>
    <tableColumn id="11" name="Category" totalsRowFunction="none"/>
    <tableColumn id="12" name="Scenario Type" totalsRowFunction="none"/>
    <tableColumn id="13" name="Priority" totalsRowFunction="none"/>
    <tableColumn id="14" name="Severity" totalsRowFunction="none"/>
    <tableColumn id="15" name="Automation Status" totalsRowFunction="none"/>
    <tableColumn id="16" name="Write Operation" totalsRowFunction="none"/>
    <tableColumn id="17" name="Environment" totalsRowFunction="none"/>
    <tableColumn id="18" name="Test Suites" totalsRowFunction="none"/>
    <tableColumn id="19" name="Execution Tags" totalsRowFunction="none"/>
    <tableColumn id="20" name="Tags" totalsRowFunction="none"/>
    <tableColumn id="21" name="Source" totalsRowFunction="none"/>
    <tableColumn id="22" name="Notes"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oolsManualUiUxCases" displayName="ToolsManualUiUxCases" ref="A1:W35" totalsRowShown="1" headerRowCount="1">
  <autoFilter ref="A1:W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Viewport" totalsRowFunction="none"/>
    <tableColumn id="10" name="Expected Result" totalsRowFunction="none"/>
    <tableColumn id="11" name="UX Category" totalsRowFunction="none"/>
    <tableColumn id="12" name="Review Method" totalsRowFunction="none"/>
    <tableColumn id="13" name="Priority" totalsRowFunction="none"/>
    <tableColumn id="14" name="Severity" totalsRowFunction="none"/>
    <tableColumn id="15" name="Recommended Environment" totalsRowFunction="none"/>
    <tableColumn id="16" name="Test Suites" totalsRowFunction="none"/>
    <tableColumn id="17" name="Execution Tags" totalsRowFunction="none"/>
    <tableColumn id="18" name="Status" totalsRowFunction="none"/>
    <tableColumn id="19" name="Actual Result" totalsRowFunction="none"/>
    <tableColumn id="20" name="Executed By" totalsRowFunction="none"/>
    <tableColumn id="21" name="Executed On" totalsRowFunction="none"/>
    <tableColumn id="22" name="Defect ID" totalsRowFunction="none"/>
    <tableColumn id="23" name="Remarks" totalsRowFunction="no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oolsUiUxFieldReference" displayName="ToolsUiUxFieldReference" ref="A1:F23" totalsRowShown="1" headerRowCount="1">
  <autoFilter ref="A1:F23">
    <filterColumn colId="0" hiddenButton="1"/>
    <filterColumn colId="1" hiddenButton="1"/>
    <filterColumn colId="2" hiddenButton="1"/>
    <filterColumn colId="3" hiddenButton="1"/>
    <filterColumn colId="4" hiddenButton="1"/>
    <filterColumn colId="5" hiddenButton="1"/>
  </autoFilter>
  <tableColumns count="6">
    <tableColumn id="1" name="Field" totalsRowLabel="Total"/>
    <tableColumn id="2" name="Sheet" totalsRowFunction="none"/>
    <tableColumn id="3" name="Editable During Execution" totalsRowFunction="none"/>
    <tableColumn id="4" name="Required" totalsRowFunction="none"/>
    <tableColumn id="5" name="Description" totalsRowFunction="none"/>
    <tableColumn id="6" name="Example" totalsRowFunction="non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pageSetUpPr fitToPage="1"/>
  </sheetPr>
  <dimension ref="A1:C25"/>
  <sheetViews>
    <sheetView workbookViewId="0" showGridLines="0">
      <pane ySplit="4" topLeftCell="A5" activePane="bottomLeft" state="frozen"/>
      <selection pane="bottomLeft"/>
    </sheetView>
  </sheetViews>
  <sheetFormatPr defaultRowHeight="15" outlineLevelRow="0" outlineLevelCol="0" x14ac:dyDescent="55"/>
  <cols>
    <col min="1" max="1" width="28" customWidth="1"/>
    <col min="2" max="2" width="108" customWidth="1"/>
    <col min="3" max="3" width="25" customWidth="1"/>
  </cols>
  <sheetData>
    <row r="1" ht="34" customHeight="1" spans="1:3" x14ac:dyDescent="0.25">
      <c r="A1" s="1" t="s">
        <v>0</v>
      </c>
      <c r="B1" s="1"/>
      <c r="C1" s="1"/>
    </row>
    <row r="2" ht="24" customHeight="1" spans="1:3" x14ac:dyDescent="0.25">
      <c r="A2" s="2" t="s">
        <v>1</v>
      </c>
      <c r="B2" s="2"/>
      <c r="C2" s="2"/>
    </row>
    <row r="3" spans="1:3" x14ac:dyDescent="0.25"/>
    <row r="4" ht="30" customHeight="1" spans="1:3" s="3" customFormat="1" x14ac:dyDescent="0.25">
      <c r="A4" s="3" t="s">
        <v>2</v>
      </c>
      <c r="B4" s="3" t="s">
        <v>3</v>
      </c>
      <c r="C4" s="3" t="s">
        <v>4</v>
      </c>
    </row>
    <row r="5" ht="36" customHeight="1" spans="1:3" s="4" customFormat="1" x14ac:dyDescent="0.25">
      <c r="A5" s="5" t="s">
        <v>5</v>
      </c>
      <c r="B5" s="6" t="s">
        <v>6</v>
      </c>
      <c r="C5" s="6" t="s">
        <v>7</v>
      </c>
    </row>
    <row r="6" ht="36" customHeight="1" spans="1:3" s="4" customFormat="1" x14ac:dyDescent="0.25">
      <c r="A6" s="5" t="s">
        <v>8</v>
      </c>
      <c r="B6" s="6" t="s">
        <v>9</v>
      </c>
      <c r="C6" s="6" t="s">
        <v>10</v>
      </c>
    </row>
    <row r="7" ht="36" customHeight="1" spans="1:3" s="4" customFormat="1" x14ac:dyDescent="0.25">
      <c r="A7" s="5" t="s">
        <v>11</v>
      </c>
      <c r="B7" s="6" t="s">
        <v>12</v>
      </c>
      <c r="C7" s="6" t="s">
        <v>13</v>
      </c>
    </row>
    <row r="8" ht="36" customHeight="1" spans="1:3" s="4" customFormat="1" x14ac:dyDescent="0.25">
      <c r="A8" s="5" t="s">
        <v>14</v>
      </c>
      <c r="B8" s="6" t="s">
        <v>15</v>
      </c>
      <c r="C8" s="6" t="s">
        <v>14</v>
      </c>
    </row>
    <row r="9" ht="36" customHeight="1" spans="1:3" s="4" customFormat="1" x14ac:dyDescent="0.25">
      <c r="A9" s="5" t="s">
        <v>16</v>
      </c>
      <c r="B9" s="6" t="s">
        <v>17</v>
      </c>
      <c r="C9" s="6" t="s">
        <v>16</v>
      </c>
    </row>
    <row r="10" ht="36" customHeight="1" spans="1:3" s="4" customFormat="1" x14ac:dyDescent="0.25">
      <c r="A10" s="5" t="s">
        <v>18</v>
      </c>
      <c r="B10" s="6" t="s">
        <v>19</v>
      </c>
      <c r="C10" s="6" t="s">
        <v>13</v>
      </c>
    </row>
    <row r="11" ht="36" customHeight="1" spans="1:3" s="4" customFormat="1" x14ac:dyDescent="0.25">
      <c r="A11" s="5" t="s">
        <v>20</v>
      </c>
      <c r="B11" s="6" t="s">
        <v>21</v>
      </c>
      <c r="C11" s="6" t="s">
        <v>16</v>
      </c>
    </row>
    <row r="12" ht="36" customHeight="1" spans="1:3" s="4" customFormat="1" x14ac:dyDescent="0.25">
      <c r="A12" s="5" t="s">
        <v>22</v>
      </c>
      <c r="B12" s="6" t="s">
        <v>23</v>
      </c>
      <c r="C12" s="6" t="s">
        <v>16</v>
      </c>
    </row>
    <row r="13" ht="36" customHeight="1" spans="1:3" s="4" customFormat="1" x14ac:dyDescent="0.25">
      <c r="A13" s="5" t="s">
        <v>24</v>
      </c>
      <c r="B13" s="6" t="s">
        <v>25</v>
      </c>
      <c r="C13" s="6" t="s">
        <v>26</v>
      </c>
    </row>
    <row r="14" ht="36" customHeight="1" spans="1:3" s="4" customFormat="1" x14ac:dyDescent="0.25">
      <c r="A14" s="5" t="s">
        <v>27</v>
      </c>
      <c r="B14" s="6" t="s">
        <v>28</v>
      </c>
      <c r="C14" s="6" t="s">
        <v>29</v>
      </c>
    </row>
    <row r="15" ht="36" customHeight="1" spans="1:3" s="4" customFormat="1" x14ac:dyDescent="0.25">
      <c r="A15" s="5" t="s">
        <v>30</v>
      </c>
      <c r="B15" s="6" t="s">
        <v>31</v>
      </c>
      <c r="C15" s="6" t="s">
        <v>29</v>
      </c>
    </row>
    <row r="16" ht="36" customHeight="1" spans="1:3" s="4" customFormat="1" x14ac:dyDescent="0.25">
      <c r="A16" s="5" t="s">
        <v>32</v>
      </c>
      <c r="B16" s="6" t="s">
        <v>33</v>
      </c>
      <c r="C16" s="6" t="s">
        <v>14</v>
      </c>
    </row>
    <row r="17" ht="36" customHeight="1" spans="1:3" s="4" customFormat="1" x14ac:dyDescent="0.25">
      <c r="A17" s="5" t="s">
        <v>34</v>
      </c>
      <c r="B17" s="6" t="s">
        <v>35</v>
      </c>
      <c r="C17" s="6" t="s">
        <v>14</v>
      </c>
    </row>
    <row r="18" ht="36" customHeight="1" spans="1:3" s="4" customFormat="1" x14ac:dyDescent="0.25">
      <c r="A18" s="5" t="s">
        <v>36</v>
      </c>
      <c r="B18" s="6" t="s">
        <v>37</v>
      </c>
      <c r="C18" s="6" t="s">
        <v>16</v>
      </c>
    </row>
    <row r="19" ht="36" customHeight="1" spans="1:3" s="4" customFormat="1" x14ac:dyDescent="0.25">
      <c r="A19" s="5" t="s">
        <v>38</v>
      </c>
      <c r="B19" s="6" t="s">
        <v>39</v>
      </c>
      <c r="C19" s="6" t="s">
        <v>40</v>
      </c>
    </row>
    <row r="20" ht="36" customHeight="1" spans="1:3" s="4" customFormat="1" x14ac:dyDescent="0.25">
      <c r="A20" s="5" t="s">
        <v>41</v>
      </c>
      <c r="B20" s="6" t="s">
        <v>42</v>
      </c>
      <c r="C20" s="6" t="s">
        <v>43</v>
      </c>
    </row>
    <row r="21" ht="36" customHeight="1" spans="1:3" s="4" customFormat="1" x14ac:dyDescent="0.25">
      <c r="A21" s="5" t="s">
        <v>44</v>
      </c>
      <c r="B21" s="6" t="s">
        <v>45</v>
      </c>
      <c r="C21" s="6" t="s">
        <v>46</v>
      </c>
    </row>
    <row r="22" ht="36" customHeight="1" spans="1:3" s="4" customFormat="1" x14ac:dyDescent="0.25">
      <c r="A22" s="5" t="s">
        <v>47</v>
      </c>
      <c r="B22" s="6" t="s">
        <v>48</v>
      </c>
      <c r="C22" s="6" t="s">
        <v>49</v>
      </c>
    </row>
    <row r="23" ht="36" customHeight="1" spans="1:3" s="4" customFormat="1" x14ac:dyDescent="0.25">
      <c r="A23" s="5" t="s">
        <v>50</v>
      </c>
      <c r="B23" s="6" t="s">
        <v>51</v>
      </c>
      <c r="C23" s="6" t="s">
        <v>52</v>
      </c>
    </row>
    <row r="24" ht="36" customHeight="1" spans="1:3" s="4" customFormat="1" x14ac:dyDescent="0.25">
      <c r="A24" s="5" t="s">
        <v>53</v>
      </c>
      <c r="B24" s="6" t="s">
        <v>54</v>
      </c>
      <c r="C24" s="6" t="s">
        <v>55</v>
      </c>
    </row>
    <row r="25" ht="36" customHeight="1" spans="1:3" s="4" customFormat="1" x14ac:dyDescent="0.25">
      <c r="A25" s="5" t="s">
        <v>56</v>
      </c>
      <c r="B25" s="6" t="s">
        <v>57</v>
      </c>
      <c r="C25" s="6" t="s">
        <v>58</v>
      </c>
    </row>
  </sheetData>
  <autoFilter ref="A4:C4"/>
  <mergeCells count="2">
    <mergeCell ref="A1:C1"/>
    <mergeCell ref="A2:C2"/>
  </mergeCells>
  <pageMargins left="0.25" right="0.25" top="0.5" bottom="0.5" header="0.2" footer="0.2"/>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pageSetUpPr fitToPage="1"/>
  </sheetPr>
  <dimension ref="A1:V50"/>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3" width="15" customWidth="1"/>
    <col min="4" max="4" width="30" customWidth="1"/>
    <col min="5" max="5" width="46" customWidth="1"/>
    <col min="6" max="6" width="54" customWidth="1"/>
    <col min="7" max="7" width="52" customWidth="1"/>
    <col min="8" max="8" width="66" customWidth="1"/>
    <col min="9" max="9" width="58" customWidth="1"/>
    <col min="10" max="10" width="62" customWidth="1"/>
    <col min="11" max="11" width="20" customWidth="1"/>
    <col min="12" max="12" width="22" customWidth="1"/>
    <col min="13" max="13" width="10" customWidth="1"/>
    <col min="14" max="14" width="12" customWidth="1"/>
    <col min="15" max="15" width="18" customWidth="1"/>
    <col min="16" max="16" width="16" customWidth="1"/>
    <col min="17" max="17" width="30" customWidth="1"/>
    <col min="18" max="18" width="42" customWidth="1"/>
    <col min="19" max="19" width="54" customWidth="1"/>
    <col min="20" max="20" width="40" customWidth="1"/>
    <col min="21" max="21" width="31" customWidth="1"/>
    <col min="22" max="22" width="35" customWidth="1"/>
  </cols>
  <sheetData>
    <row r="1" ht="30" customHeight="1" spans="1:22" s="3" customFormat="1" x14ac:dyDescent="0.25">
      <c r="A1" s="3" t="s">
        <v>59</v>
      </c>
      <c r="B1" s="3" t="s">
        <v>60</v>
      </c>
      <c r="C1" s="3" t="s">
        <v>61</v>
      </c>
      <c r="D1" s="3" t="s">
        <v>62</v>
      </c>
      <c r="E1" s="3" t="s">
        <v>63</v>
      </c>
      <c r="F1" s="3" t="s">
        <v>64</v>
      </c>
      <c r="G1" s="3" t="s">
        <v>65</v>
      </c>
      <c r="H1" s="3" t="s">
        <v>66</v>
      </c>
      <c r="I1" s="3" t="s">
        <v>67</v>
      </c>
      <c r="J1" s="3" t="s">
        <v>68</v>
      </c>
      <c r="K1" s="3" t="s">
        <v>69</v>
      </c>
      <c r="L1" s="3" t="s">
        <v>70</v>
      </c>
      <c r="M1" s="3" t="s">
        <v>71</v>
      </c>
      <c r="N1" s="3" t="s">
        <v>72</v>
      </c>
      <c r="O1" s="3" t="s">
        <v>73</v>
      </c>
      <c r="P1" s="3" t="s">
        <v>74</v>
      </c>
      <c r="Q1" s="3" t="s">
        <v>75</v>
      </c>
      <c r="R1" s="3" t="s">
        <v>27</v>
      </c>
      <c r="S1" s="3" t="s">
        <v>30</v>
      </c>
      <c r="T1" s="3" t="s">
        <v>76</v>
      </c>
      <c r="U1" s="3" t="s">
        <v>77</v>
      </c>
      <c r="V1" s="3" t="s">
        <v>78</v>
      </c>
    </row>
    <row r="2" ht="76" customHeight="1" spans="1:22" s="7" customFormat="1" x14ac:dyDescent="0.25">
      <c r="A2" s="7">
        <v>1</v>
      </c>
      <c r="B2" s="8" t="s">
        <v>79</v>
      </c>
      <c r="C2" s="7" t="s">
        <v>80</v>
      </c>
      <c r="D2" s="7" t="s">
        <v>81</v>
      </c>
      <c r="E2" s="7" t="s">
        <v>82</v>
      </c>
      <c r="F2" s="7" t="s">
        <v>83</v>
      </c>
      <c r="G2" s="7" t="s">
        <v>84</v>
      </c>
      <c r="H2" s="7" t="s">
        <v>85</v>
      </c>
      <c r="I2" s="9" t="s">
        <v>86</v>
      </c>
      <c r="J2" s="7" t="s">
        <v>87</v>
      </c>
      <c r="K2" s="7" t="s">
        <v>88</v>
      </c>
      <c r="L2" s="7" t="s">
        <v>89</v>
      </c>
      <c r="M2" s="10" t="s">
        <v>90</v>
      </c>
      <c r="N2" s="7" t="s">
        <v>91</v>
      </c>
      <c r="O2" s="7" t="s">
        <v>92</v>
      </c>
      <c r="P2" s="7" t="s">
        <v>93</v>
      </c>
      <c r="Q2" s="7" t="s">
        <v>94</v>
      </c>
      <c r="R2" s="7" t="s">
        <v>95</v>
      </c>
      <c r="S2" s="7" t="s">
        <v>96</v>
      </c>
      <c r="T2" s="7" t="s">
        <v>97</v>
      </c>
      <c r="U2" s="7" t="s">
        <v>98</v>
      </c>
      <c r="V2" s="7" t="s">
        <v>99</v>
      </c>
    </row>
    <row r="3" ht="76" customHeight="1" spans="1:22" s="7" customFormat="1" x14ac:dyDescent="0.25">
      <c r="A3" s="7">
        <v>2</v>
      </c>
      <c r="B3" s="8" t="s">
        <v>100</v>
      </c>
      <c r="C3" s="7" t="s">
        <v>80</v>
      </c>
      <c r="D3" s="7" t="s">
        <v>101</v>
      </c>
      <c r="E3" s="7" t="s">
        <v>102</v>
      </c>
      <c r="F3" s="7" t="s">
        <v>103</v>
      </c>
      <c r="G3" s="7" t="s">
        <v>104</v>
      </c>
      <c r="H3" s="7" t="s">
        <v>105</v>
      </c>
      <c r="I3" s="9" t="s">
        <v>106</v>
      </c>
      <c r="J3" s="7" t="s">
        <v>107</v>
      </c>
      <c r="K3" s="7" t="s">
        <v>88</v>
      </c>
      <c r="L3" s="7" t="s">
        <v>89</v>
      </c>
      <c r="M3" s="10" t="s">
        <v>90</v>
      </c>
      <c r="N3" s="7" t="s">
        <v>91</v>
      </c>
      <c r="O3" s="7" t="s">
        <v>92</v>
      </c>
      <c r="P3" s="7" t="s">
        <v>93</v>
      </c>
      <c r="Q3" s="7" t="s">
        <v>94</v>
      </c>
      <c r="R3" s="7" t="s">
        <v>108</v>
      </c>
      <c r="S3" s="7" t="s">
        <v>109</v>
      </c>
      <c r="T3" s="7" t="s">
        <v>110</v>
      </c>
      <c r="U3" s="7" t="s">
        <v>98</v>
      </c>
      <c r="V3" s="7" t="s">
        <v>99</v>
      </c>
    </row>
    <row r="4" ht="76" customHeight="1" spans="1:22" s="7" customFormat="1" x14ac:dyDescent="0.25">
      <c r="A4" s="7">
        <v>3</v>
      </c>
      <c r="B4" s="8" t="s">
        <v>111</v>
      </c>
      <c r="C4" s="7" t="s">
        <v>80</v>
      </c>
      <c r="D4" s="7" t="s">
        <v>112</v>
      </c>
      <c r="E4" s="7" t="s">
        <v>113</v>
      </c>
      <c r="F4" s="7" t="s">
        <v>114</v>
      </c>
      <c r="G4" s="7" t="s">
        <v>84</v>
      </c>
      <c r="H4" s="7" t="s">
        <v>115</v>
      </c>
      <c r="I4" s="9" t="s">
        <v>116</v>
      </c>
      <c r="J4" s="7" t="s">
        <v>117</v>
      </c>
      <c r="K4" s="7" t="s">
        <v>88</v>
      </c>
      <c r="L4" s="7" t="s">
        <v>118</v>
      </c>
      <c r="M4" s="10" t="s">
        <v>90</v>
      </c>
      <c r="N4" s="7" t="s">
        <v>91</v>
      </c>
      <c r="O4" s="7" t="s">
        <v>92</v>
      </c>
      <c r="P4" s="7" t="s">
        <v>93</v>
      </c>
      <c r="Q4" s="7" t="s">
        <v>94</v>
      </c>
      <c r="R4" s="7" t="s">
        <v>108</v>
      </c>
      <c r="S4" s="7" t="s">
        <v>109</v>
      </c>
      <c r="T4" s="7" t="s">
        <v>119</v>
      </c>
      <c r="U4" s="7" t="s">
        <v>98</v>
      </c>
      <c r="V4" s="7" t="s">
        <v>99</v>
      </c>
    </row>
    <row r="5" ht="76" customHeight="1" spans="1:22" s="7" customFormat="1" x14ac:dyDescent="0.25">
      <c r="A5" s="7">
        <v>4</v>
      </c>
      <c r="B5" s="8" t="s">
        <v>120</v>
      </c>
      <c r="C5" s="7" t="s">
        <v>80</v>
      </c>
      <c r="D5" s="7" t="s">
        <v>112</v>
      </c>
      <c r="E5" s="7" t="s">
        <v>121</v>
      </c>
      <c r="F5" s="7" t="s">
        <v>122</v>
      </c>
      <c r="G5" s="7" t="s">
        <v>84</v>
      </c>
      <c r="H5" s="7" t="s">
        <v>123</v>
      </c>
      <c r="I5" s="9" t="s">
        <v>124</v>
      </c>
      <c r="J5" s="7" t="s">
        <v>125</v>
      </c>
      <c r="K5" s="7" t="s">
        <v>88</v>
      </c>
      <c r="L5" s="7" t="s">
        <v>126</v>
      </c>
      <c r="M5" s="11" t="s">
        <v>127</v>
      </c>
      <c r="N5" s="7" t="s">
        <v>128</v>
      </c>
      <c r="O5" s="7" t="s">
        <v>92</v>
      </c>
      <c r="P5" s="7" t="s">
        <v>93</v>
      </c>
      <c r="Q5" s="7" t="s">
        <v>94</v>
      </c>
      <c r="R5" s="7" t="s">
        <v>129</v>
      </c>
      <c r="S5" s="7" t="s">
        <v>130</v>
      </c>
      <c r="T5" s="7" t="s">
        <v>131</v>
      </c>
      <c r="U5" s="7" t="s">
        <v>98</v>
      </c>
      <c r="V5" s="7" t="s">
        <v>99</v>
      </c>
    </row>
    <row r="6" ht="76" customHeight="1" spans="1:22" s="7" customFormat="1" x14ac:dyDescent="0.25">
      <c r="A6" s="7">
        <v>5</v>
      </c>
      <c r="B6" s="8" t="s">
        <v>132</v>
      </c>
      <c r="C6" s="7" t="s">
        <v>80</v>
      </c>
      <c r="D6" s="7" t="s">
        <v>133</v>
      </c>
      <c r="E6" s="7" t="s">
        <v>134</v>
      </c>
      <c r="F6" s="7" t="s">
        <v>135</v>
      </c>
      <c r="G6" s="7" t="s">
        <v>84</v>
      </c>
      <c r="H6" s="7" t="s">
        <v>136</v>
      </c>
      <c r="I6" s="9" t="s">
        <v>137</v>
      </c>
      <c r="J6" s="7" t="s">
        <v>138</v>
      </c>
      <c r="K6" s="7" t="s">
        <v>139</v>
      </c>
      <c r="L6" s="7" t="s">
        <v>140</v>
      </c>
      <c r="M6" s="10" t="s">
        <v>90</v>
      </c>
      <c r="N6" s="7" t="s">
        <v>91</v>
      </c>
      <c r="O6" s="7" t="s">
        <v>92</v>
      </c>
      <c r="P6" s="7" t="s">
        <v>93</v>
      </c>
      <c r="Q6" s="7" t="s">
        <v>94</v>
      </c>
      <c r="R6" s="7" t="s">
        <v>141</v>
      </c>
      <c r="S6" s="7" t="s">
        <v>142</v>
      </c>
      <c r="T6" s="7" t="s">
        <v>143</v>
      </c>
      <c r="U6" s="7" t="s">
        <v>98</v>
      </c>
      <c r="V6" s="7" t="s">
        <v>99</v>
      </c>
    </row>
    <row r="7" ht="76" customHeight="1" spans="1:22" s="7" customFormat="1" x14ac:dyDescent="0.25">
      <c r="A7" s="7">
        <v>6</v>
      </c>
      <c r="B7" s="8" t="s">
        <v>144</v>
      </c>
      <c r="C7" s="7" t="s">
        <v>80</v>
      </c>
      <c r="D7" s="7" t="s">
        <v>133</v>
      </c>
      <c r="E7" s="7" t="s">
        <v>145</v>
      </c>
      <c r="F7" s="7" t="s">
        <v>146</v>
      </c>
      <c r="G7" s="7" t="s">
        <v>84</v>
      </c>
      <c r="H7" s="7" t="s">
        <v>147</v>
      </c>
      <c r="I7" s="9" t="s">
        <v>148</v>
      </c>
      <c r="J7" s="7" t="s">
        <v>149</v>
      </c>
      <c r="K7" s="7" t="s">
        <v>139</v>
      </c>
      <c r="L7" s="7" t="s">
        <v>140</v>
      </c>
      <c r="M7" s="10" t="s">
        <v>90</v>
      </c>
      <c r="N7" s="7" t="s">
        <v>91</v>
      </c>
      <c r="O7" s="7" t="s">
        <v>92</v>
      </c>
      <c r="P7" s="7" t="s">
        <v>93</v>
      </c>
      <c r="Q7" s="7" t="s">
        <v>94</v>
      </c>
      <c r="R7" s="7" t="s">
        <v>141</v>
      </c>
      <c r="S7" s="7" t="s">
        <v>142</v>
      </c>
      <c r="T7" s="7" t="s">
        <v>150</v>
      </c>
      <c r="U7" s="7" t="s">
        <v>98</v>
      </c>
      <c r="V7" s="7" t="s">
        <v>99</v>
      </c>
    </row>
    <row r="8" ht="76" customHeight="1" spans="1:22" s="7" customFormat="1" x14ac:dyDescent="0.25">
      <c r="A8" s="7">
        <v>7</v>
      </c>
      <c r="B8" s="8" t="s">
        <v>151</v>
      </c>
      <c r="C8" s="7" t="s">
        <v>80</v>
      </c>
      <c r="D8" s="7" t="s">
        <v>133</v>
      </c>
      <c r="E8" s="7" t="s">
        <v>152</v>
      </c>
      <c r="F8" s="7" t="s">
        <v>153</v>
      </c>
      <c r="G8" s="7" t="s">
        <v>84</v>
      </c>
      <c r="H8" s="7" t="s">
        <v>154</v>
      </c>
      <c r="I8" s="9" t="s">
        <v>155</v>
      </c>
      <c r="J8" s="7" t="s">
        <v>156</v>
      </c>
      <c r="K8" s="7" t="s">
        <v>139</v>
      </c>
      <c r="L8" s="7" t="s">
        <v>140</v>
      </c>
      <c r="M8" s="10" t="s">
        <v>90</v>
      </c>
      <c r="N8" s="7" t="s">
        <v>91</v>
      </c>
      <c r="O8" s="7" t="s">
        <v>92</v>
      </c>
      <c r="P8" s="7" t="s">
        <v>93</v>
      </c>
      <c r="Q8" s="7" t="s">
        <v>94</v>
      </c>
      <c r="R8" s="7" t="s">
        <v>141</v>
      </c>
      <c r="S8" s="7" t="s">
        <v>142</v>
      </c>
      <c r="T8" s="7" t="s">
        <v>157</v>
      </c>
      <c r="U8" s="7" t="s">
        <v>98</v>
      </c>
      <c r="V8" s="7" t="s">
        <v>99</v>
      </c>
    </row>
    <row r="9" ht="76" customHeight="1" spans="1:22" s="7" customFormat="1" x14ac:dyDescent="0.25">
      <c r="A9" s="7">
        <v>8</v>
      </c>
      <c r="B9" s="8" t="s">
        <v>158</v>
      </c>
      <c r="C9" s="7" t="s">
        <v>80</v>
      </c>
      <c r="D9" s="7" t="s">
        <v>133</v>
      </c>
      <c r="E9" s="7" t="s">
        <v>159</v>
      </c>
      <c r="F9" s="7" t="s">
        <v>160</v>
      </c>
      <c r="G9" s="7" t="s">
        <v>84</v>
      </c>
      <c r="H9" s="7" t="s">
        <v>161</v>
      </c>
      <c r="I9" s="9" t="s">
        <v>162</v>
      </c>
      <c r="J9" s="7" t="s">
        <v>163</v>
      </c>
      <c r="K9" s="7" t="s">
        <v>139</v>
      </c>
      <c r="L9" s="7" t="s">
        <v>140</v>
      </c>
      <c r="M9" s="10" t="s">
        <v>90</v>
      </c>
      <c r="N9" s="7" t="s">
        <v>91</v>
      </c>
      <c r="O9" s="7" t="s">
        <v>92</v>
      </c>
      <c r="P9" s="7" t="s">
        <v>93</v>
      </c>
      <c r="Q9" s="7" t="s">
        <v>94</v>
      </c>
      <c r="R9" s="7" t="s">
        <v>141</v>
      </c>
      <c r="S9" s="7" t="s">
        <v>142</v>
      </c>
      <c r="T9" s="7" t="s">
        <v>164</v>
      </c>
      <c r="U9" s="7" t="s">
        <v>98</v>
      </c>
      <c r="V9" s="7" t="s">
        <v>99</v>
      </c>
    </row>
    <row r="10" ht="76" customHeight="1" spans="1:22" s="7" customFormat="1" x14ac:dyDescent="0.25">
      <c r="A10" s="7">
        <v>9</v>
      </c>
      <c r="B10" s="8" t="s">
        <v>165</v>
      </c>
      <c r="C10" s="7" t="s">
        <v>80</v>
      </c>
      <c r="D10" s="7" t="s">
        <v>166</v>
      </c>
      <c r="E10" s="7" t="s">
        <v>167</v>
      </c>
      <c r="F10" s="7" t="s">
        <v>168</v>
      </c>
      <c r="G10" s="7" t="s">
        <v>84</v>
      </c>
      <c r="H10" s="7" t="s">
        <v>169</v>
      </c>
      <c r="I10" s="9" t="s">
        <v>170</v>
      </c>
      <c r="J10" s="7" t="s">
        <v>171</v>
      </c>
      <c r="K10" s="7" t="s">
        <v>88</v>
      </c>
      <c r="L10" s="7" t="s">
        <v>89</v>
      </c>
      <c r="M10" s="11" t="s">
        <v>127</v>
      </c>
      <c r="N10" s="7" t="s">
        <v>128</v>
      </c>
      <c r="O10" s="7" t="s">
        <v>92</v>
      </c>
      <c r="P10" s="7" t="s">
        <v>93</v>
      </c>
      <c r="Q10" s="7" t="s">
        <v>94</v>
      </c>
      <c r="R10" s="7" t="s">
        <v>172</v>
      </c>
      <c r="S10" s="7" t="s">
        <v>173</v>
      </c>
      <c r="T10" s="7" t="s">
        <v>174</v>
      </c>
      <c r="U10" s="7" t="s">
        <v>98</v>
      </c>
      <c r="V10" s="7" t="s">
        <v>99</v>
      </c>
    </row>
    <row r="11" ht="76" customHeight="1" spans="1:22" s="7" customFormat="1" x14ac:dyDescent="0.25">
      <c r="A11" s="7">
        <v>10</v>
      </c>
      <c r="B11" s="8" t="s">
        <v>175</v>
      </c>
      <c r="C11" s="7" t="s">
        <v>80</v>
      </c>
      <c r="D11" s="7" t="s">
        <v>176</v>
      </c>
      <c r="E11" s="7" t="s">
        <v>177</v>
      </c>
      <c r="F11" s="7" t="s">
        <v>178</v>
      </c>
      <c r="G11" s="7" t="s">
        <v>84</v>
      </c>
      <c r="H11" s="7" t="s">
        <v>179</v>
      </c>
      <c r="I11" s="9" t="s">
        <v>180</v>
      </c>
      <c r="J11" s="7" t="s">
        <v>181</v>
      </c>
      <c r="K11" s="7" t="s">
        <v>88</v>
      </c>
      <c r="L11" s="7" t="s">
        <v>126</v>
      </c>
      <c r="M11" s="10" t="s">
        <v>90</v>
      </c>
      <c r="N11" s="7" t="s">
        <v>91</v>
      </c>
      <c r="O11" s="7" t="s">
        <v>92</v>
      </c>
      <c r="P11" s="7" t="s">
        <v>93</v>
      </c>
      <c r="Q11" s="7" t="s">
        <v>94</v>
      </c>
      <c r="R11" s="7" t="s">
        <v>108</v>
      </c>
      <c r="S11" s="7" t="s">
        <v>109</v>
      </c>
      <c r="T11" s="7" t="s">
        <v>182</v>
      </c>
      <c r="U11" s="7" t="s">
        <v>98</v>
      </c>
      <c r="V11" s="7" t="s">
        <v>99</v>
      </c>
    </row>
    <row r="12" ht="76" customHeight="1" spans="1:22" s="7" customFormat="1" x14ac:dyDescent="0.25">
      <c r="A12" s="7">
        <v>11</v>
      </c>
      <c r="B12" s="8" t="s">
        <v>183</v>
      </c>
      <c r="C12" s="7" t="s">
        <v>80</v>
      </c>
      <c r="D12" s="7" t="s">
        <v>184</v>
      </c>
      <c r="E12" s="7" t="s">
        <v>185</v>
      </c>
      <c r="F12" s="7" t="s">
        <v>186</v>
      </c>
      <c r="G12" s="7" t="s">
        <v>187</v>
      </c>
      <c r="H12" s="7" t="s">
        <v>188</v>
      </c>
      <c r="I12" s="9" t="s">
        <v>189</v>
      </c>
      <c r="J12" s="7" t="s">
        <v>190</v>
      </c>
      <c r="K12" s="7" t="s">
        <v>191</v>
      </c>
      <c r="L12" s="7" t="s">
        <v>89</v>
      </c>
      <c r="M12" s="10" t="s">
        <v>90</v>
      </c>
      <c r="N12" s="12" t="s">
        <v>192</v>
      </c>
      <c r="O12" s="7" t="s">
        <v>92</v>
      </c>
      <c r="P12" s="13" t="s">
        <v>193</v>
      </c>
      <c r="Q12" s="7" t="s">
        <v>94</v>
      </c>
      <c r="R12" s="7" t="s">
        <v>194</v>
      </c>
      <c r="S12" s="7" t="s">
        <v>195</v>
      </c>
      <c r="T12" s="7" t="s">
        <v>196</v>
      </c>
      <c r="U12" s="7" t="s">
        <v>98</v>
      </c>
      <c r="V12" s="7" t="s">
        <v>99</v>
      </c>
    </row>
    <row r="13" ht="76" customHeight="1" spans="1:22" s="7" customFormat="1" x14ac:dyDescent="0.25">
      <c r="A13" s="7">
        <v>12</v>
      </c>
      <c r="B13" s="8" t="s">
        <v>197</v>
      </c>
      <c r="C13" s="7" t="s">
        <v>80</v>
      </c>
      <c r="D13" s="7" t="s">
        <v>198</v>
      </c>
      <c r="E13" s="7" t="s">
        <v>199</v>
      </c>
      <c r="F13" s="7" t="s">
        <v>200</v>
      </c>
      <c r="G13" s="7" t="s">
        <v>201</v>
      </c>
      <c r="H13" s="7" t="s">
        <v>202</v>
      </c>
      <c r="I13" s="9" t="s">
        <v>203</v>
      </c>
      <c r="J13" s="7" t="s">
        <v>204</v>
      </c>
      <c r="K13" s="7" t="s">
        <v>191</v>
      </c>
      <c r="L13" s="7" t="s">
        <v>89</v>
      </c>
      <c r="M13" s="10" t="s">
        <v>90</v>
      </c>
      <c r="N13" s="12" t="s">
        <v>192</v>
      </c>
      <c r="O13" s="7" t="s">
        <v>92</v>
      </c>
      <c r="P13" s="7" t="s">
        <v>93</v>
      </c>
      <c r="Q13" s="7" t="s">
        <v>94</v>
      </c>
      <c r="R13" s="7" t="s">
        <v>194</v>
      </c>
      <c r="S13" s="7" t="s">
        <v>195</v>
      </c>
      <c r="T13" s="7" t="s">
        <v>205</v>
      </c>
      <c r="U13" s="7" t="s">
        <v>98</v>
      </c>
      <c r="V13" s="7" t="s">
        <v>99</v>
      </c>
    </row>
    <row r="14" ht="76" customHeight="1" spans="1:22" s="7" customFormat="1" x14ac:dyDescent="0.25">
      <c r="A14" s="7">
        <v>13</v>
      </c>
      <c r="B14" s="8" t="s">
        <v>206</v>
      </c>
      <c r="C14" s="7" t="s">
        <v>80</v>
      </c>
      <c r="D14" s="7" t="s">
        <v>207</v>
      </c>
      <c r="E14" s="7" t="s">
        <v>208</v>
      </c>
      <c r="F14" s="7" t="s">
        <v>209</v>
      </c>
      <c r="G14" s="7" t="s">
        <v>201</v>
      </c>
      <c r="H14" s="7" t="s">
        <v>210</v>
      </c>
      <c r="I14" s="9" t="s">
        <v>211</v>
      </c>
      <c r="J14" s="7" t="s">
        <v>212</v>
      </c>
      <c r="K14" s="7" t="s">
        <v>88</v>
      </c>
      <c r="L14" s="7" t="s">
        <v>118</v>
      </c>
      <c r="M14" s="10" t="s">
        <v>90</v>
      </c>
      <c r="N14" s="7" t="s">
        <v>91</v>
      </c>
      <c r="O14" s="7" t="s">
        <v>92</v>
      </c>
      <c r="P14" s="7" t="s">
        <v>93</v>
      </c>
      <c r="Q14" s="7" t="s">
        <v>94</v>
      </c>
      <c r="R14" s="7" t="s">
        <v>213</v>
      </c>
      <c r="S14" s="7" t="s">
        <v>214</v>
      </c>
      <c r="T14" s="7" t="s">
        <v>215</v>
      </c>
      <c r="U14" s="7" t="s">
        <v>98</v>
      </c>
      <c r="V14" s="7" t="s">
        <v>99</v>
      </c>
    </row>
    <row r="15" ht="76" customHeight="1" spans="1:22" s="7" customFormat="1" x14ac:dyDescent="0.25">
      <c r="A15" s="7">
        <v>14</v>
      </c>
      <c r="B15" s="8" t="s">
        <v>216</v>
      </c>
      <c r="C15" s="7" t="s">
        <v>80</v>
      </c>
      <c r="D15" s="7" t="s">
        <v>217</v>
      </c>
      <c r="E15" s="7" t="s">
        <v>218</v>
      </c>
      <c r="F15" s="7" t="s">
        <v>219</v>
      </c>
      <c r="G15" s="7" t="s">
        <v>220</v>
      </c>
      <c r="H15" s="7" t="s">
        <v>221</v>
      </c>
      <c r="I15" s="9" t="s">
        <v>222</v>
      </c>
      <c r="J15" s="7" t="s">
        <v>223</v>
      </c>
      <c r="K15" s="7" t="s">
        <v>191</v>
      </c>
      <c r="L15" s="7" t="s">
        <v>89</v>
      </c>
      <c r="M15" s="10" t="s">
        <v>90</v>
      </c>
      <c r="N15" s="12" t="s">
        <v>192</v>
      </c>
      <c r="O15" s="7" t="s">
        <v>92</v>
      </c>
      <c r="P15" s="13" t="s">
        <v>193</v>
      </c>
      <c r="Q15" s="7" t="s">
        <v>94</v>
      </c>
      <c r="R15" s="7" t="s">
        <v>194</v>
      </c>
      <c r="S15" s="7" t="s">
        <v>195</v>
      </c>
      <c r="T15" s="7" t="s">
        <v>224</v>
      </c>
      <c r="U15" s="7" t="s">
        <v>98</v>
      </c>
      <c r="V15" s="7" t="s">
        <v>99</v>
      </c>
    </row>
    <row r="16" ht="76" customHeight="1" spans="1:22" s="7" customFormat="1" x14ac:dyDescent="0.25">
      <c r="A16" s="7">
        <v>15</v>
      </c>
      <c r="B16" s="8" t="s">
        <v>225</v>
      </c>
      <c r="C16" s="7" t="s">
        <v>80</v>
      </c>
      <c r="D16" s="7" t="s">
        <v>226</v>
      </c>
      <c r="E16" s="7" t="s">
        <v>227</v>
      </c>
      <c r="F16" s="7" t="s">
        <v>228</v>
      </c>
      <c r="G16" s="7" t="s">
        <v>229</v>
      </c>
      <c r="H16" s="7" t="s">
        <v>230</v>
      </c>
      <c r="I16" s="9" t="s">
        <v>231</v>
      </c>
      <c r="J16" s="7" t="s">
        <v>232</v>
      </c>
      <c r="K16" s="7" t="s">
        <v>191</v>
      </c>
      <c r="L16" s="7" t="s">
        <v>89</v>
      </c>
      <c r="M16" s="10" t="s">
        <v>90</v>
      </c>
      <c r="N16" s="12" t="s">
        <v>192</v>
      </c>
      <c r="O16" s="7" t="s">
        <v>92</v>
      </c>
      <c r="P16" s="7" t="s">
        <v>93</v>
      </c>
      <c r="Q16" s="7" t="s">
        <v>94</v>
      </c>
      <c r="R16" s="7" t="s">
        <v>194</v>
      </c>
      <c r="S16" s="7" t="s">
        <v>195</v>
      </c>
      <c r="T16" s="7" t="s">
        <v>233</v>
      </c>
      <c r="U16" s="7" t="s">
        <v>98</v>
      </c>
      <c r="V16" s="7" t="s">
        <v>99</v>
      </c>
    </row>
    <row r="17" ht="76" customHeight="1" spans="1:22" s="7" customFormat="1" x14ac:dyDescent="0.25">
      <c r="A17" s="7">
        <v>16</v>
      </c>
      <c r="B17" s="8" t="s">
        <v>234</v>
      </c>
      <c r="C17" s="7" t="s">
        <v>80</v>
      </c>
      <c r="D17" s="7" t="s">
        <v>235</v>
      </c>
      <c r="E17" s="7" t="s">
        <v>236</v>
      </c>
      <c r="F17" s="7" t="s">
        <v>237</v>
      </c>
      <c r="G17" s="7" t="s">
        <v>84</v>
      </c>
      <c r="H17" s="7" t="s">
        <v>238</v>
      </c>
      <c r="I17" s="9" t="s">
        <v>239</v>
      </c>
      <c r="J17" s="7" t="s">
        <v>240</v>
      </c>
      <c r="K17" s="7" t="s">
        <v>88</v>
      </c>
      <c r="L17" s="7" t="s">
        <v>89</v>
      </c>
      <c r="M17" s="10" t="s">
        <v>90</v>
      </c>
      <c r="N17" s="7" t="s">
        <v>91</v>
      </c>
      <c r="O17" s="7" t="s">
        <v>92</v>
      </c>
      <c r="P17" s="7" t="s">
        <v>93</v>
      </c>
      <c r="Q17" s="7" t="s">
        <v>94</v>
      </c>
      <c r="R17" s="7" t="s">
        <v>141</v>
      </c>
      <c r="S17" s="7" t="s">
        <v>142</v>
      </c>
      <c r="T17" s="7" t="s">
        <v>241</v>
      </c>
      <c r="U17" s="7" t="s">
        <v>98</v>
      </c>
      <c r="V17" s="7" t="s">
        <v>99</v>
      </c>
    </row>
    <row r="18" ht="76" customHeight="1" spans="1:22" s="7" customFormat="1" x14ac:dyDescent="0.25">
      <c r="A18" s="7">
        <v>17</v>
      </c>
      <c r="B18" s="8" t="s">
        <v>242</v>
      </c>
      <c r="C18" s="7" t="s">
        <v>80</v>
      </c>
      <c r="D18" s="7" t="s">
        <v>235</v>
      </c>
      <c r="E18" s="7" t="s">
        <v>243</v>
      </c>
      <c r="F18" s="7" t="s">
        <v>244</v>
      </c>
      <c r="G18" s="7" t="s">
        <v>84</v>
      </c>
      <c r="H18" s="7" t="s">
        <v>245</v>
      </c>
      <c r="I18" s="9" t="s">
        <v>246</v>
      </c>
      <c r="J18" s="7" t="s">
        <v>247</v>
      </c>
      <c r="K18" s="7" t="s">
        <v>88</v>
      </c>
      <c r="L18" s="7" t="s">
        <v>89</v>
      </c>
      <c r="M18" s="10" t="s">
        <v>90</v>
      </c>
      <c r="N18" s="7" t="s">
        <v>91</v>
      </c>
      <c r="O18" s="7" t="s">
        <v>92</v>
      </c>
      <c r="P18" s="7" t="s">
        <v>93</v>
      </c>
      <c r="Q18" s="7" t="s">
        <v>94</v>
      </c>
      <c r="R18" s="7" t="s">
        <v>141</v>
      </c>
      <c r="S18" s="7" t="s">
        <v>142</v>
      </c>
      <c r="T18" s="7" t="s">
        <v>248</v>
      </c>
      <c r="U18" s="7" t="s">
        <v>98</v>
      </c>
      <c r="V18" s="7" t="s">
        <v>99</v>
      </c>
    </row>
    <row r="19" ht="76" customHeight="1" spans="1:22" s="7" customFormat="1" x14ac:dyDescent="0.25">
      <c r="A19" s="7">
        <v>18</v>
      </c>
      <c r="B19" s="8" t="s">
        <v>249</v>
      </c>
      <c r="C19" s="7" t="s">
        <v>80</v>
      </c>
      <c r="D19" s="7" t="s">
        <v>250</v>
      </c>
      <c r="E19" s="7" t="s">
        <v>251</v>
      </c>
      <c r="F19" s="7" t="s">
        <v>252</v>
      </c>
      <c r="G19" s="7" t="s">
        <v>84</v>
      </c>
      <c r="H19" s="7" t="s">
        <v>253</v>
      </c>
      <c r="I19" s="9" t="s">
        <v>86</v>
      </c>
      <c r="J19" s="7" t="s">
        <v>254</v>
      </c>
      <c r="K19" s="7" t="s">
        <v>88</v>
      </c>
      <c r="L19" s="7" t="s">
        <v>89</v>
      </c>
      <c r="M19" s="10" t="s">
        <v>90</v>
      </c>
      <c r="N19" s="7" t="s">
        <v>91</v>
      </c>
      <c r="O19" s="7" t="s">
        <v>92</v>
      </c>
      <c r="P19" s="7" t="s">
        <v>93</v>
      </c>
      <c r="Q19" s="7" t="s">
        <v>94</v>
      </c>
      <c r="R19" s="7" t="s">
        <v>129</v>
      </c>
      <c r="S19" s="7" t="s">
        <v>130</v>
      </c>
      <c r="T19" s="7" t="s">
        <v>255</v>
      </c>
      <c r="U19" s="7" t="s">
        <v>98</v>
      </c>
      <c r="V19" s="7" t="s">
        <v>99</v>
      </c>
    </row>
    <row r="20" ht="76" customHeight="1" spans="1:22" s="7" customFormat="1" x14ac:dyDescent="0.25">
      <c r="A20" s="7">
        <v>19</v>
      </c>
      <c r="B20" s="8" t="s">
        <v>256</v>
      </c>
      <c r="C20" s="7" t="s">
        <v>80</v>
      </c>
      <c r="D20" s="7" t="s">
        <v>257</v>
      </c>
      <c r="E20" s="7" t="s">
        <v>258</v>
      </c>
      <c r="F20" s="7" t="s">
        <v>259</v>
      </c>
      <c r="G20" s="7" t="s">
        <v>84</v>
      </c>
      <c r="H20" s="7" t="s">
        <v>260</v>
      </c>
      <c r="I20" s="9" t="s">
        <v>261</v>
      </c>
      <c r="J20" s="7" t="s">
        <v>262</v>
      </c>
      <c r="K20" s="7" t="s">
        <v>139</v>
      </c>
      <c r="L20" s="7" t="s">
        <v>140</v>
      </c>
      <c r="M20" s="10" t="s">
        <v>90</v>
      </c>
      <c r="N20" s="12" t="s">
        <v>192</v>
      </c>
      <c r="O20" s="7" t="s">
        <v>92</v>
      </c>
      <c r="P20" s="7" t="s">
        <v>93</v>
      </c>
      <c r="Q20" s="7" t="s">
        <v>94</v>
      </c>
      <c r="R20" s="7" t="s">
        <v>263</v>
      </c>
      <c r="S20" s="7" t="s">
        <v>264</v>
      </c>
      <c r="T20" s="7" t="s">
        <v>265</v>
      </c>
      <c r="U20" s="7" t="s">
        <v>98</v>
      </c>
      <c r="V20" s="7" t="s">
        <v>99</v>
      </c>
    </row>
    <row r="21" ht="76" customHeight="1" spans="1:22" s="7" customFormat="1" x14ac:dyDescent="0.25">
      <c r="A21" s="7">
        <v>20</v>
      </c>
      <c r="B21" s="8" t="s">
        <v>266</v>
      </c>
      <c r="C21" s="7" t="s">
        <v>80</v>
      </c>
      <c r="D21" s="7" t="s">
        <v>257</v>
      </c>
      <c r="E21" s="7" t="s">
        <v>267</v>
      </c>
      <c r="F21" s="7" t="s">
        <v>268</v>
      </c>
      <c r="G21" s="7" t="s">
        <v>84</v>
      </c>
      <c r="H21" s="7" t="s">
        <v>269</v>
      </c>
      <c r="I21" s="9" t="s">
        <v>270</v>
      </c>
      <c r="J21" s="7" t="s">
        <v>271</v>
      </c>
      <c r="K21" s="7" t="s">
        <v>139</v>
      </c>
      <c r="L21" s="7" t="s">
        <v>140</v>
      </c>
      <c r="M21" s="10" t="s">
        <v>90</v>
      </c>
      <c r="N21" s="12" t="s">
        <v>192</v>
      </c>
      <c r="O21" s="7" t="s">
        <v>92</v>
      </c>
      <c r="P21" s="7" t="s">
        <v>93</v>
      </c>
      <c r="Q21" s="7" t="s">
        <v>94</v>
      </c>
      <c r="R21" s="7" t="s">
        <v>263</v>
      </c>
      <c r="S21" s="7" t="s">
        <v>264</v>
      </c>
      <c r="T21" s="7" t="s">
        <v>265</v>
      </c>
      <c r="U21" s="7" t="s">
        <v>98</v>
      </c>
      <c r="V21" s="7" t="s">
        <v>99</v>
      </c>
    </row>
    <row r="22" ht="76" customHeight="1" spans="1:22" s="7" customFormat="1" x14ac:dyDescent="0.25">
      <c r="A22" s="7">
        <v>21</v>
      </c>
      <c r="B22" s="8" t="s">
        <v>272</v>
      </c>
      <c r="C22" s="7" t="s">
        <v>80</v>
      </c>
      <c r="D22" s="7" t="s">
        <v>273</v>
      </c>
      <c r="E22" s="7" t="s">
        <v>274</v>
      </c>
      <c r="F22" s="7" t="s">
        <v>275</v>
      </c>
      <c r="G22" s="7" t="s">
        <v>84</v>
      </c>
      <c r="H22" s="7" t="s">
        <v>276</v>
      </c>
      <c r="I22" s="9" t="s">
        <v>277</v>
      </c>
      <c r="J22" s="7" t="s">
        <v>278</v>
      </c>
      <c r="K22" s="7" t="s">
        <v>139</v>
      </c>
      <c r="L22" s="7" t="s">
        <v>140</v>
      </c>
      <c r="M22" s="10" t="s">
        <v>90</v>
      </c>
      <c r="N22" s="7" t="s">
        <v>91</v>
      </c>
      <c r="O22" s="7" t="s">
        <v>92</v>
      </c>
      <c r="P22" s="7" t="s">
        <v>93</v>
      </c>
      <c r="Q22" s="7" t="s">
        <v>94</v>
      </c>
      <c r="R22" s="7" t="s">
        <v>263</v>
      </c>
      <c r="S22" s="7" t="s">
        <v>264</v>
      </c>
      <c r="T22" s="7" t="s">
        <v>279</v>
      </c>
      <c r="U22" s="7" t="s">
        <v>98</v>
      </c>
      <c r="V22" s="7" t="s">
        <v>99</v>
      </c>
    </row>
    <row r="23" ht="76" customHeight="1" spans="1:22" s="7" customFormat="1" x14ac:dyDescent="0.25">
      <c r="A23" s="7">
        <v>22</v>
      </c>
      <c r="B23" s="8" t="s">
        <v>280</v>
      </c>
      <c r="C23" s="7" t="s">
        <v>80</v>
      </c>
      <c r="D23" s="7" t="s">
        <v>281</v>
      </c>
      <c r="E23" s="7" t="s">
        <v>282</v>
      </c>
      <c r="F23" s="7" t="s">
        <v>283</v>
      </c>
      <c r="G23" s="7" t="s">
        <v>84</v>
      </c>
      <c r="H23" s="7" t="s">
        <v>284</v>
      </c>
      <c r="I23" s="9" t="s">
        <v>285</v>
      </c>
      <c r="J23" s="7" t="s">
        <v>286</v>
      </c>
      <c r="K23" s="7" t="s">
        <v>139</v>
      </c>
      <c r="L23" s="7" t="s">
        <v>140</v>
      </c>
      <c r="M23" s="10" t="s">
        <v>90</v>
      </c>
      <c r="N23" s="7" t="s">
        <v>91</v>
      </c>
      <c r="O23" s="7" t="s">
        <v>92</v>
      </c>
      <c r="P23" s="7" t="s">
        <v>93</v>
      </c>
      <c r="Q23" s="7" t="s">
        <v>94</v>
      </c>
      <c r="R23" s="7" t="s">
        <v>263</v>
      </c>
      <c r="S23" s="7" t="s">
        <v>264</v>
      </c>
      <c r="T23" s="7" t="s">
        <v>287</v>
      </c>
      <c r="U23" s="7" t="s">
        <v>98</v>
      </c>
      <c r="V23" s="7" t="s">
        <v>99</v>
      </c>
    </row>
    <row r="24" ht="76" customHeight="1" spans="1:22" s="7" customFormat="1" x14ac:dyDescent="0.25">
      <c r="A24" s="7">
        <v>23</v>
      </c>
      <c r="B24" s="8" t="s">
        <v>288</v>
      </c>
      <c r="C24" s="7" t="s">
        <v>80</v>
      </c>
      <c r="D24" s="7" t="s">
        <v>289</v>
      </c>
      <c r="E24" s="7" t="s">
        <v>290</v>
      </c>
      <c r="F24" s="7" t="s">
        <v>291</v>
      </c>
      <c r="G24" s="7" t="s">
        <v>84</v>
      </c>
      <c r="H24" s="7" t="s">
        <v>292</v>
      </c>
      <c r="I24" s="9" t="s">
        <v>293</v>
      </c>
      <c r="J24" s="7" t="s">
        <v>294</v>
      </c>
      <c r="K24" s="7" t="s">
        <v>139</v>
      </c>
      <c r="L24" s="7" t="s">
        <v>139</v>
      </c>
      <c r="M24" s="10" t="s">
        <v>90</v>
      </c>
      <c r="N24" s="7" t="s">
        <v>91</v>
      </c>
      <c r="O24" s="7" t="s">
        <v>92</v>
      </c>
      <c r="P24" s="7" t="s">
        <v>93</v>
      </c>
      <c r="Q24" s="7" t="s">
        <v>94</v>
      </c>
      <c r="R24" s="7" t="s">
        <v>263</v>
      </c>
      <c r="S24" s="7" t="s">
        <v>264</v>
      </c>
      <c r="T24" s="7" t="s">
        <v>295</v>
      </c>
      <c r="U24" s="7" t="s">
        <v>98</v>
      </c>
      <c r="V24" s="7" t="s">
        <v>99</v>
      </c>
    </row>
    <row r="25" ht="76" customHeight="1" spans="1:22" s="7" customFormat="1" x14ac:dyDescent="0.25">
      <c r="A25" s="7">
        <v>24</v>
      </c>
      <c r="B25" s="8" t="s">
        <v>296</v>
      </c>
      <c r="C25" s="7" t="s">
        <v>80</v>
      </c>
      <c r="D25" s="7" t="s">
        <v>297</v>
      </c>
      <c r="E25" s="7" t="s">
        <v>298</v>
      </c>
      <c r="F25" s="7" t="s">
        <v>299</v>
      </c>
      <c r="G25" s="7" t="s">
        <v>84</v>
      </c>
      <c r="H25" s="7" t="s">
        <v>300</v>
      </c>
      <c r="I25" s="9" t="s">
        <v>301</v>
      </c>
      <c r="J25" s="7" t="s">
        <v>302</v>
      </c>
      <c r="K25" s="7" t="s">
        <v>139</v>
      </c>
      <c r="L25" s="7" t="s">
        <v>139</v>
      </c>
      <c r="M25" s="10" t="s">
        <v>90</v>
      </c>
      <c r="N25" s="7" t="s">
        <v>91</v>
      </c>
      <c r="O25" s="7" t="s">
        <v>92</v>
      </c>
      <c r="P25" s="7" t="s">
        <v>93</v>
      </c>
      <c r="Q25" s="7" t="s">
        <v>94</v>
      </c>
      <c r="R25" s="7" t="s">
        <v>263</v>
      </c>
      <c r="S25" s="7" t="s">
        <v>264</v>
      </c>
      <c r="T25" s="7" t="s">
        <v>303</v>
      </c>
      <c r="U25" s="7" t="s">
        <v>98</v>
      </c>
      <c r="V25" s="7" t="s">
        <v>99</v>
      </c>
    </row>
    <row r="26" ht="76" customHeight="1" spans="1:22" s="7" customFormat="1" x14ac:dyDescent="0.25">
      <c r="A26" s="7">
        <v>25</v>
      </c>
      <c r="B26" s="8" t="s">
        <v>304</v>
      </c>
      <c r="C26" s="7" t="s">
        <v>80</v>
      </c>
      <c r="D26" s="7" t="s">
        <v>305</v>
      </c>
      <c r="E26" s="7" t="s">
        <v>306</v>
      </c>
      <c r="F26" s="7" t="s">
        <v>307</v>
      </c>
      <c r="G26" s="7" t="s">
        <v>84</v>
      </c>
      <c r="H26" s="7" t="s">
        <v>308</v>
      </c>
      <c r="I26" s="9" t="s">
        <v>309</v>
      </c>
      <c r="J26" s="7" t="s">
        <v>310</v>
      </c>
      <c r="K26" s="7" t="s">
        <v>139</v>
      </c>
      <c r="L26" s="7" t="s">
        <v>139</v>
      </c>
      <c r="M26" s="10" t="s">
        <v>90</v>
      </c>
      <c r="N26" s="7" t="s">
        <v>91</v>
      </c>
      <c r="O26" s="7" t="s">
        <v>92</v>
      </c>
      <c r="P26" s="7" t="s">
        <v>93</v>
      </c>
      <c r="Q26" s="7" t="s">
        <v>94</v>
      </c>
      <c r="R26" s="7" t="s">
        <v>263</v>
      </c>
      <c r="S26" s="7" t="s">
        <v>264</v>
      </c>
      <c r="T26" s="7" t="s">
        <v>311</v>
      </c>
      <c r="U26" s="7" t="s">
        <v>98</v>
      </c>
      <c r="V26" s="7" t="s">
        <v>99</v>
      </c>
    </row>
    <row r="27" ht="76" customHeight="1" spans="1:22" s="7" customFormat="1" x14ac:dyDescent="0.25">
      <c r="A27" s="7">
        <v>26</v>
      </c>
      <c r="B27" s="8" t="s">
        <v>312</v>
      </c>
      <c r="C27" s="7" t="s">
        <v>80</v>
      </c>
      <c r="D27" s="7" t="s">
        <v>313</v>
      </c>
      <c r="E27" s="7" t="s">
        <v>314</v>
      </c>
      <c r="F27" s="7" t="s">
        <v>315</v>
      </c>
      <c r="G27" s="7" t="s">
        <v>84</v>
      </c>
      <c r="H27" s="7" t="s">
        <v>316</v>
      </c>
      <c r="I27" s="9" t="s">
        <v>317</v>
      </c>
      <c r="J27" s="7" t="s">
        <v>318</v>
      </c>
      <c r="K27" s="7" t="s">
        <v>139</v>
      </c>
      <c r="L27" s="7" t="s">
        <v>139</v>
      </c>
      <c r="M27" s="10" t="s">
        <v>90</v>
      </c>
      <c r="N27" s="7" t="s">
        <v>91</v>
      </c>
      <c r="O27" s="7" t="s">
        <v>92</v>
      </c>
      <c r="P27" s="7" t="s">
        <v>93</v>
      </c>
      <c r="Q27" s="7" t="s">
        <v>94</v>
      </c>
      <c r="R27" s="7" t="s">
        <v>263</v>
      </c>
      <c r="S27" s="7" t="s">
        <v>264</v>
      </c>
      <c r="T27" s="7" t="s">
        <v>319</v>
      </c>
      <c r="U27" s="7" t="s">
        <v>98</v>
      </c>
      <c r="V27" s="7" t="s">
        <v>99</v>
      </c>
    </row>
    <row r="28" ht="76" customHeight="1" spans="1:22" s="7" customFormat="1" x14ac:dyDescent="0.25">
      <c r="A28" s="7">
        <v>27</v>
      </c>
      <c r="B28" s="8" t="s">
        <v>320</v>
      </c>
      <c r="C28" s="7" t="s">
        <v>80</v>
      </c>
      <c r="D28" s="7" t="s">
        <v>321</v>
      </c>
      <c r="E28" s="7" t="s">
        <v>322</v>
      </c>
      <c r="F28" s="7" t="s">
        <v>323</v>
      </c>
      <c r="G28" s="7" t="s">
        <v>84</v>
      </c>
      <c r="H28" s="7" t="s">
        <v>324</v>
      </c>
      <c r="I28" s="9" t="s">
        <v>325</v>
      </c>
      <c r="J28" s="7" t="s">
        <v>326</v>
      </c>
      <c r="K28" s="7" t="s">
        <v>139</v>
      </c>
      <c r="L28" s="7" t="s">
        <v>139</v>
      </c>
      <c r="M28" s="10" t="s">
        <v>90</v>
      </c>
      <c r="N28" s="7" t="s">
        <v>91</v>
      </c>
      <c r="O28" s="7" t="s">
        <v>92</v>
      </c>
      <c r="P28" s="7" t="s">
        <v>93</v>
      </c>
      <c r="Q28" s="7" t="s">
        <v>94</v>
      </c>
      <c r="R28" s="7" t="s">
        <v>263</v>
      </c>
      <c r="S28" s="7" t="s">
        <v>264</v>
      </c>
      <c r="T28" s="7" t="s">
        <v>327</v>
      </c>
      <c r="U28" s="7" t="s">
        <v>98</v>
      </c>
      <c r="V28" s="7" t="s">
        <v>99</v>
      </c>
    </row>
    <row r="29" ht="76" customHeight="1" spans="1:22" s="7" customFormat="1" x14ac:dyDescent="0.25">
      <c r="A29" s="7">
        <v>28</v>
      </c>
      <c r="B29" s="8" t="s">
        <v>328</v>
      </c>
      <c r="C29" s="7" t="s">
        <v>80</v>
      </c>
      <c r="D29" s="7" t="s">
        <v>329</v>
      </c>
      <c r="E29" s="7" t="s">
        <v>330</v>
      </c>
      <c r="F29" s="7" t="s">
        <v>331</v>
      </c>
      <c r="G29" s="7" t="s">
        <v>84</v>
      </c>
      <c r="H29" s="7" t="s">
        <v>332</v>
      </c>
      <c r="I29" s="9" t="s">
        <v>333</v>
      </c>
      <c r="J29" s="7" t="s">
        <v>334</v>
      </c>
      <c r="K29" s="7" t="s">
        <v>139</v>
      </c>
      <c r="L29" s="7" t="s">
        <v>139</v>
      </c>
      <c r="M29" s="10" t="s">
        <v>90</v>
      </c>
      <c r="N29" s="7" t="s">
        <v>91</v>
      </c>
      <c r="O29" s="7" t="s">
        <v>92</v>
      </c>
      <c r="P29" s="7" t="s">
        <v>93</v>
      </c>
      <c r="Q29" s="7" t="s">
        <v>94</v>
      </c>
      <c r="R29" s="7" t="s">
        <v>263</v>
      </c>
      <c r="S29" s="7" t="s">
        <v>264</v>
      </c>
      <c r="T29" s="7" t="s">
        <v>335</v>
      </c>
      <c r="U29" s="7" t="s">
        <v>98</v>
      </c>
      <c r="V29" s="7" t="s">
        <v>99</v>
      </c>
    </row>
    <row r="30" ht="76" customHeight="1" spans="1:22" s="7" customFormat="1" x14ac:dyDescent="0.25">
      <c r="A30" s="7">
        <v>29</v>
      </c>
      <c r="B30" s="8" t="s">
        <v>336</v>
      </c>
      <c r="C30" s="7" t="s">
        <v>80</v>
      </c>
      <c r="D30" s="7" t="s">
        <v>337</v>
      </c>
      <c r="E30" s="7" t="s">
        <v>338</v>
      </c>
      <c r="F30" s="7" t="s">
        <v>339</v>
      </c>
      <c r="G30" s="7" t="s">
        <v>84</v>
      </c>
      <c r="H30" s="7" t="s">
        <v>340</v>
      </c>
      <c r="I30" s="9" t="s">
        <v>341</v>
      </c>
      <c r="J30" s="7" t="s">
        <v>342</v>
      </c>
      <c r="K30" s="7" t="s">
        <v>139</v>
      </c>
      <c r="L30" s="7" t="s">
        <v>139</v>
      </c>
      <c r="M30" s="10" t="s">
        <v>90</v>
      </c>
      <c r="N30" s="12" t="s">
        <v>192</v>
      </c>
      <c r="O30" s="7" t="s">
        <v>92</v>
      </c>
      <c r="P30" s="7" t="s">
        <v>93</v>
      </c>
      <c r="Q30" s="7" t="s">
        <v>94</v>
      </c>
      <c r="R30" s="7" t="s">
        <v>263</v>
      </c>
      <c r="S30" s="7" t="s">
        <v>264</v>
      </c>
      <c r="T30" s="7" t="s">
        <v>343</v>
      </c>
      <c r="U30" s="7" t="s">
        <v>98</v>
      </c>
      <c r="V30" s="7" t="s">
        <v>99</v>
      </c>
    </row>
    <row r="31" ht="76" customHeight="1" spans="1:22" s="7" customFormat="1" x14ac:dyDescent="0.25">
      <c r="A31" s="7">
        <v>30</v>
      </c>
      <c r="B31" s="8" t="s">
        <v>344</v>
      </c>
      <c r="C31" s="7" t="s">
        <v>80</v>
      </c>
      <c r="D31" s="7" t="s">
        <v>313</v>
      </c>
      <c r="E31" s="7" t="s">
        <v>345</v>
      </c>
      <c r="F31" s="7" t="s">
        <v>346</v>
      </c>
      <c r="G31" s="7" t="s">
        <v>347</v>
      </c>
      <c r="H31" s="7" t="s">
        <v>348</v>
      </c>
      <c r="I31" s="9" t="s">
        <v>317</v>
      </c>
      <c r="J31" s="7" t="s">
        <v>349</v>
      </c>
      <c r="K31" s="7" t="s">
        <v>139</v>
      </c>
      <c r="L31" s="7" t="s">
        <v>139</v>
      </c>
      <c r="M31" s="10" t="s">
        <v>90</v>
      </c>
      <c r="N31" s="7" t="s">
        <v>91</v>
      </c>
      <c r="O31" s="7" t="s">
        <v>92</v>
      </c>
      <c r="P31" s="7" t="s">
        <v>93</v>
      </c>
      <c r="Q31" s="7" t="s">
        <v>94</v>
      </c>
      <c r="R31" s="7" t="s">
        <v>263</v>
      </c>
      <c r="S31" s="7" t="s">
        <v>264</v>
      </c>
      <c r="T31" s="7" t="s">
        <v>350</v>
      </c>
      <c r="U31" s="7" t="s">
        <v>98</v>
      </c>
      <c r="V31" s="7" t="s">
        <v>99</v>
      </c>
    </row>
    <row r="32" ht="76" customHeight="1" spans="1:22" s="7" customFormat="1" x14ac:dyDescent="0.25">
      <c r="A32" s="7">
        <v>31</v>
      </c>
      <c r="B32" s="8" t="s">
        <v>351</v>
      </c>
      <c r="C32" s="7" t="s">
        <v>80</v>
      </c>
      <c r="D32" s="7" t="s">
        <v>352</v>
      </c>
      <c r="E32" s="7" t="s">
        <v>353</v>
      </c>
      <c r="F32" s="7" t="s">
        <v>354</v>
      </c>
      <c r="G32" s="7" t="s">
        <v>355</v>
      </c>
      <c r="H32" s="7" t="s">
        <v>356</v>
      </c>
      <c r="I32" s="9" t="s">
        <v>357</v>
      </c>
      <c r="J32" s="7" t="s">
        <v>358</v>
      </c>
      <c r="K32" s="7" t="s">
        <v>191</v>
      </c>
      <c r="L32" s="7" t="s">
        <v>89</v>
      </c>
      <c r="M32" s="10" t="s">
        <v>90</v>
      </c>
      <c r="N32" s="12" t="s">
        <v>192</v>
      </c>
      <c r="O32" s="7" t="s">
        <v>92</v>
      </c>
      <c r="P32" s="13" t="s">
        <v>193</v>
      </c>
      <c r="Q32" s="7" t="s">
        <v>94</v>
      </c>
      <c r="R32" s="7" t="s">
        <v>141</v>
      </c>
      <c r="S32" s="7" t="s">
        <v>142</v>
      </c>
      <c r="T32" s="7" t="s">
        <v>359</v>
      </c>
      <c r="U32" s="7" t="s">
        <v>98</v>
      </c>
      <c r="V32" s="7" t="s">
        <v>99</v>
      </c>
    </row>
    <row r="33" ht="76" customHeight="1" spans="1:22" s="7" customFormat="1" x14ac:dyDescent="0.25">
      <c r="A33" s="7">
        <v>32</v>
      </c>
      <c r="B33" s="8" t="s">
        <v>360</v>
      </c>
      <c r="C33" s="7" t="s">
        <v>80</v>
      </c>
      <c r="D33" s="7" t="s">
        <v>352</v>
      </c>
      <c r="E33" s="7" t="s">
        <v>361</v>
      </c>
      <c r="F33" s="7" t="s">
        <v>362</v>
      </c>
      <c r="G33" s="7" t="s">
        <v>355</v>
      </c>
      <c r="H33" s="7" t="s">
        <v>363</v>
      </c>
      <c r="I33" s="9" t="s">
        <v>364</v>
      </c>
      <c r="J33" s="7" t="s">
        <v>365</v>
      </c>
      <c r="K33" s="7" t="s">
        <v>191</v>
      </c>
      <c r="L33" s="7" t="s">
        <v>89</v>
      </c>
      <c r="M33" s="10" t="s">
        <v>90</v>
      </c>
      <c r="N33" s="12" t="s">
        <v>192</v>
      </c>
      <c r="O33" s="7" t="s">
        <v>92</v>
      </c>
      <c r="P33" s="13" t="s">
        <v>193</v>
      </c>
      <c r="Q33" s="7" t="s">
        <v>94</v>
      </c>
      <c r="R33" s="7" t="s">
        <v>141</v>
      </c>
      <c r="S33" s="7" t="s">
        <v>142</v>
      </c>
      <c r="T33" s="7" t="s">
        <v>359</v>
      </c>
      <c r="U33" s="7" t="s">
        <v>98</v>
      </c>
      <c r="V33" s="7" t="s">
        <v>99</v>
      </c>
    </row>
    <row r="34" ht="76" customHeight="1" spans="1:22" s="7" customFormat="1" x14ac:dyDescent="0.25">
      <c r="A34" s="7">
        <v>33</v>
      </c>
      <c r="B34" s="8" t="s">
        <v>366</v>
      </c>
      <c r="C34" s="7" t="s">
        <v>80</v>
      </c>
      <c r="D34" s="7" t="s">
        <v>352</v>
      </c>
      <c r="E34" s="7" t="s">
        <v>367</v>
      </c>
      <c r="F34" s="7" t="s">
        <v>368</v>
      </c>
      <c r="G34" s="7" t="s">
        <v>355</v>
      </c>
      <c r="H34" s="7" t="s">
        <v>369</v>
      </c>
      <c r="I34" s="9" t="s">
        <v>370</v>
      </c>
      <c r="J34" s="7" t="s">
        <v>371</v>
      </c>
      <c r="K34" s="7" t="s">
        <v>191</v>
      </c>
      <c r="L34" s="7" t="s">
        <v>89</v>
      </c>
      <c r="M34" s="10" t="s">
        <v>90</v>
      </c>
      <c r="N34" s="12" t="s">
        <v>192</v>
      </c>
      <c r="O34" s="7" t="s">
        <v>92</v>
      </c>
      <c r="P34" s="13" t="s">
        <v>193</v>
      </c>
      <c r="Q34" s="7" t="s">
        <v>94</v>
      </c>
      <c r="R34" s="7" t="s">
        <v>141</v>
      </c>
      <c r="S34" s="7" t="s">
        <v>142</v>
      </c>
      <c r="T34" s="7" t="s">
        <v>359</v>
      </c>
      <c r="U34" s="7" t="s">
        <v>98</v>
      </c>
      <c r="V34" s="7" t="s">
        <v>99</v>
      </c>
    </row>
    <row r="35" ht="76" customHeight="1" spans="1:22" s="7" customFormat="1" x14ac:dyDescent="0.25">
      <c r="A35" s="7">
        <v>34</v>
      </c>
      <c r="B35" s="8" t="s">
        <v>372</v>
      </c>
      <c r="C35" s="7" t="s">
        <v>80</v>
      </c>
      <c r="D35" s="7" t="s">
        <v>352</v>
      </c>
      <c r="E35" s="7" t="s">
        <v>373</v>
      </c>
      <c r="F35" s="7" t="s">
        <v>374</v>
      </c>
      <c r="G35" s="7" t="s">
        <v>355</v>
      </c>
      <c r="H35" s="7" t="s">
        <v>375</v>
      </c>
      <c r="I35" s="9" t="s">
        <v>376</v>
      </c>
      <c r="J35" s="7" t="s">
        <v>377</v>
      </c>
      <c r="K35" s="7" t="s">
        <v>191</v>
      </c>
      <c r="L35" s="7" t="s">
        <v>89</v>
      </c>
      <c r="M35" s="10" t="s">
        <v>90</v>
      </c>
      <c r="N35" s="12" t="s">
        <v>192</v>
      </c>
      <c r="O35" s="7" t="s">
        <v>92</v>
      </c>
      <c r="P35" s="13" t="s">
        <v>193</v>
      </c>
      <c r="Q35" s="7" t="s">
        <v>94</v>
      </c>
      <c r="R35" s="7" t="s">
        <v>141</v>
      </c>
      <c r="S35" s="7" t="s">
        <v>142</v>
      </c>
      <c r="T35" s="7" t="s">
        <v>359</v>
      </c>
      <c r="U35" s="7" t="s">
        <v>98</v>
      </c>
      <c r="V35" s="7" t="s">
        <v>99</v>
      </c>
    </row>
    <row r="36" ht="76" customHeight="1" spans="1:22" s="7" customFormat="1" x14ac:dyDescent="0.25">
      <c r="A36" s="7">
        <v>35</v>
      </c>
      <c r="B36" s="8" t="s">
        <v>378</v>
      </c>
      <c r="C36" s="7" t="s">
        <v>80</v>
      </c>
      <c r="D36" s="7" t="s">
        <v>352</v>
      </c>
      <c r="E36" s="7" t="s">
        <v>379</v>
      </c>
      <c r="F36" s="7" t="s">
        <v>380</v>
      </c>
      <c r="G36" s="7" t="s">
        <v>355</v>
      </c>
      <c r="H36" s="7" t="s">
        <v>381</v>
      </c>
      <c r="I36" s="9" t="s">
        <v>382</v>
      </c>
      <c r="J36" s="7" t="s">
        <v>383</v>
      </c>
      <c r="K36" s="7" t="s">
        <v>191</v>
      </c>
      <c r="L36" s="7" t="s">
        <v>89</v>
      </c>
      <c r="M36" s="10" t="s">
        <v>90</v>
      </c>
      <c r="N36" s="12" t="s">
        <v>192</v>
      </c>
      <c r="O36" s="7" t="s">
        <v>92</v>
      </c>
      <c r="P36" s="13" t="s">
        <v>193</v>
      </c>
      <c r="Q36" s="7" t="s">
        <v>94</v>
      </c>
      <c r="R36" s="7" t="s">
        <v>141</v>
      </c>
      <c r="S36" s="7" t="s">
        <v>142</v>
      </c>
      <c r="T36" s="7" t="s">
        <v>359</v>
      </c>
      <c r="U36" s="7" t="s">
        <v>98</v>
      </c>
      <c r="V36" s="7" t="s">
        <v>99</v>
      </c>
    </row>
    <row r="37" ht="76" customHeight="1" spans="1:22" s="7" customFormat="1" x14ac:dyDescent="0.25">
      <c r="A37" s="7">
        <v>36</v>
      </c>
      <c r="B37" s="8" t="s">
        <v>384</v>
      </c>
      <c r="C37" s="7" t="s">
        <v>80</v>
      </c>
      <c r="D37" s="7" t="s">
        <v>352</v>
      </c>
      <c r="E37" s="7" t="s">
        <v>385</v>
      </c>
      <c r="F37" s="7" t="s">
        <v>386</v>
      </c>
      <c r="G37" s="7" t="s">
        <v>355</v>
      </c>
      <c r="H37" s="7" t="s">
        <v>387</v>
      </c>
      <c r="I37" s="9" t="s">
        <v>388</v>
      </c>
      <c r="J37" s="7" t="s">
        <v>389</v>
      </c>
      <c r="K37" s="7" t="s">
        <v>191</v>
      </c>
      <c r="L37" s="7" t="s">
        <v>89</v>
      </c>
      <c r="M37" s="10" t="s">
        <v>90</v>
      </c>
      <c r="N37" s="12" t="s">
        <v>192</v>
      </c>
      <c r="O37" s="7" t="s">
        <v>92</v>
      </c>
      <c r="P37" s="13" t="s">
        <v>193</v>
      </c>
      <c r="Q37" s="7" t="s">
        <v>94</v>
      </c>
      <c r="R37" s="7" t="s">
        <v>141</v>
      </c>
      <c r="S37" s="7" t="s">
        <v>142</v>
      </c>
      <c r="T37" s="7" t="s">
        <v>359</v>
      </c>
      <c r="U37" s="7" t="s">
        <v>98</v>
      </c>
      <c r="V37" s="7" t="s">
        <v>99</v>
      </c>
    </row>
    <row r="38" ht="76" customHeight="1" spans="1:22" s="7" customFormat="1" x14ac:dyDescent="0.25">
      <c r="A38" s="7">
        <v>37</v>
      </c>
      <c r="B38" s="8" t="s">
        <v>390</v>
      </c>
      <c r="C38" s="7" t="s">
        <v>80</v>
      </c>
      <c r="D38" s="7" t="s">
        <v>352</v>
      </c>
      <c r="E38" s="7" t="s">
        <v>391</v>
      </c>
      <c r="F38" s="7" t="s">
        <v>392</v>
      </c>
      <c r="G38" s="7" t="s">
        <v>355</v>
      </c>
      <c r="H38" s="7" t="s">
        <v>393</v>
      </c>
      <c r="I38" s="9" t="s">
        <v>394</v>
      </c>
      <c r="J38" s="7" t="s">
        <v>395</v>
      </c>
      <c r="K38" s="7" t="s">
        <v>191</v>
      </c>
      <c r="L38" s="7" t="s">
        <v>89</v>
      </c>
      <c r="M38" s="10" t="s">
        <v>90</v>
      </c>
      <c r="N38" s="12" t="s">
        <v>192</v>
      </c>
      <c r="O38" s="7" t="s">
        <v>92</v>
      </c>
      <c r="P38" s="13" t="s">
        <v>193</v>
      </c>
      <c r="Q38" s="7" t="s">
        <v>94</v>
      </c>
      <c r="R38" s="7" t="s">
        <v>141</v>
      </c>
      <c r="S38" s="7" t="s">
        <v>142</v>
      </c>
      <c r="T38" s="7" t="s">
        <v>359</v>
      </c>
      <c r="U38" s="7" t="s">
        <v>98</v>
      </c>
      <c r="V38" s="7" t="s">
        <v>99</v>
      </c>
    </row>
    <row r="39" ht="76" customHeight="1" spans="1:22" s="7" customFormat="1" x14ac:dyDescent="0.25">
      <c r="A39" s="7">
        <v>38</v>
      </c>
      <c r="B39" s="8" t="s">
        <v>396</v>
      </c>
      <c r="C39" s="7" t="s">
        <v>80</v>
      </c>
      <c r="D39" s="7" t="s">
        <v>352</v>
      </c>
      <c r="E39" s="7" t="s">
        <v>397</v>
      </c>
      <c r="F39" s="7" t="s">
        <v>398</v>
      </c>
      <c r="G39" s="7" t="s">
        <v>355</v>
      </c>
      <c r="H39" s="7" t="s">
        <v>399</v>
      </c>
      <c r="I39" s="9" t="s">
        <v>400</v>
      </c>
      <c r="J39" s="7" t="s">
        <v>401</v>
      </c>
      <c r="K39" s="7" t="s">
        <v>191</v>
      </c>
      <c r="L39" s="7" t="s">
        <v>89</v>
      </c>
      <c r="M39" s="10" t="s">
        <v>90</v>
      </c>
      <c r="N39" s="12" t="s">
        <v>192</v>
      </c>
      <c r="O39" s="7" t="s">
        <v>92</v>
      </c>
      <c r="P39" s="13" t="s">
        <v>193</v>
      </c>
      <c r="Q39" s="7" t="s">
        <v>94</v>
      </c>
      <c r="R39" s="7" t="s">
        <v>141</v>
      </c>
      <c r="S39" s="7" t="s">
        <v>142</v>
      </c>
      <c r="T39" s="7" t="s">
        <v>359</v>
      </c>
      <c r="U39" s="7" t="s">
        <v>98</v>
      </c>
      <c r="V39" s="7" t="s">
        <v>99</v>
      </c>
    </row>
    <row r="40" ht="76" customHeight="1" spans="1:22" s="7" customFormat="1" x14ac:dyDescent="0.25">
      <c r="A40" s="7">
        <v>39</v>
      </c>
      <c r="B40" s="8" t="s">
        <v>402</v>
      </c>
      <c r="C40" s="7" t="s">
        <v>80</v>
      </c>
      <c r="D40" s="7" t="s">
        <v>352</v>
      </c>
      <c r="E40" s="7" t="s">
        <v>403</v>
      </c>
      <c r="F40" s="7" t="s">
        <v>404</v>
      </c>
      <c r="G40" s="7" t="s">
        <v>355</v>
      </c>
      <c r="H40" s="7" t="s">
        <v>405</v>
      </c>
      <c r="I40" s="9" t="s">
        <v>406</v>
      </c>
      <c r="J40" s="7" t="s">
        <v>407</v>
      </c>
      <c r="K40" s="7" t="s">
        <v>191</v>
      </c>
      <c r="L40" s="7" t="s">
        <v>89</v>
      </c>
      <c r="M40" s="10" t="s">
        <v>90</v>
      </c>
      <c r="N40" s="12" t="s">
        <v>192</v>
      </c>
      <c r="O40" s="7" t="s">
        <v>92</v>
      </c>
      <c r="P40" s="13" t="s">
        <v>193</v>
      </c>
      <c r="Q40" s="7" t="s">
        <v>94</v>
      </c>
      <c r="R40" s="7" t="s">
        <v>141</v>
      </c>
      <c r="S40" s="7" t="s">
        <v>142</v>
      </c>
      <c r="T40" s="7" t="s">
        <v>359</v>
      </c>
      <c r="U40" s="7" t="s">
        <v>98</v>
      </c>
      <c r="V40" s="7" t="s">
        <v>99</v>
      </c>
    </row>
    <row r="41" ht="76" customHeight="1" spans="1:22" s="7" customFormat="1" x14ac:dyDescent="0.25">
      <c r="A41" s="7">
        <v>40</v>
      </c>
      <c r="B41" s="8" t="s">
        <v>408</v>
      </c>
      <c r="C41" s="7" t="s">
        <v>80</v>
      </c>
      <c r="D41" s="7" t="s">
        <v>352</v>
      </c>
      <c r="E41" s="7" t="s">
        <v>409</v>
      </c>
      <c r="F41" s="7" t="s">
        <v>410</v>
      </c>
      <c r="G41" s="7" t="s">
        <v>355</v>
      </c>
      <c r="H41" s="7" t="s">
        <v>411</v>
      </c>
      <c r="I41" s="9" t="s">
        <v>412</v>
      </c>
      <c r="J41" s="7" t="s">
        <v>413</v>
      </c>
      <c r="K41" s="7" t="s">
        <v>191</v>
      </c>
      <c r="L41" s="7" t="s">
        <v>89</v>
      </c>
      <c r="M41" s="10" t="s">
        <v>90</v>
      </c>
      <c r="N41" s="12" t="s">
        <v>192</v>
      </c>
      <c r="O41" s="7" t="s">
        <v>92</v>
      </c>
      <c r="P41" s="13" t="s">
        <v>193</v>
      </c>
      <c r="Q41" s="7" t="s">
        <v>94</v>
      </c>
      <c r="R41" s="7" t="s">
        <v>141</v>
      </c>
      <c r="S41" s="7" t="s">
        <v>142</v>
      </c>
      <c r="T41" s="7" t="s">
        <v>359</v>
      </c>
      <c r="U41" s="7" t="s">
        <v>98</v>
      </c>
      <c r="V41" s="7" t="s">
        <v>99</v>
      </c>
    </row>
    <row r="42" ht="76" customHeight="1" spans="1:22" s="7" customFormat="1" x14ac:dyDescent="0.25">
      <c r="A42" s="7">
        <v>41</v>
      </c>
      <c r="B42" s="8" t="s">
        <v>414</v>
      </c>
      <c r="C42" s="7" t="s">
        <v>80</v>
      </c>
      <c r="D42" s="7" t="s">
        <v>352</v>
      </c>
      <c r="E42" s="7" t="s">
        <v>415</v>
      </c>
      <c r="F42" s="7" t="s">
        <v>416</v>
      </c>
      <c r="G42" s="7" t="s">
        <v>355</v>
      </c>
      <c r="H42" s="7" t="s">
        <v>417</v>
      </c>
      <c r="I42" s="9" t="s">
        <v>418</v>
      </c>
      <c r="J42" s="7" t="s">
        <v>419</v>
      </c>
      <c r="K42" s="7" t="s">
        <v>191</v>
      </c>
      <c r="L42" s="7" t="s">
        <v>89</v>
      </c>
      <c r="M42" s="10" t="s">
        <v>90</v>
      </c>
      <c r="N42" s="12" t="s">
        <v>192</v>
      </c>
      <c r="O42" s="7" t="s">
        <v>92</v>
      </c>
      <c r="P42" s="13" t="s">
        <v>193</v>
      </c>
      <c r="Q42" s="7" t="s">
        <v>94</v>
      </c>
      <c r="R42" s="7" t="s">
        <v>141</v>
      </c>
      <c r="S42" s="7" t="s">
        <v>142</v>
      </c>
      <c r="T42" s="7" t="s">
        <v>359</v>
      </c>
      <c r="U42" s="7" t="s">
        <v>98</v>
      </c>
      <c r="V42" s="7" t="s">
        <v>99</v>
      </c>
    </row>
    <row r="43" ht="76" customHeight="1" spans="1:22" s="7" customFormat="1" x14ac:dyDescent="0.25">
      <c r="A43" s="7">
        <v>42</v>
      </c>
      <c r="B43" s="8" t="s">
        <v>420</v>
      </c>
      <c r="C43" s="7" t="s">
        <v>80</v>
      </c>
      <c r="D43" s="7" t="s">
        <v>352</v>
      </c>
      <c r="E43" s="7" t="s">
        <v>421</v>
      </c>
      <c r="F43" s="7" t="s">
        <v>422</v>
      </c>
      <c r="G43" s="7" t="s">
        <v>355</v>
      </c>
      <c r="H43" s="7" t="s">
        <v>423</v>
      </c>
      <c r="I43" s="9" t="s">
        <v>424</v>
      </c>
      <c r="J43" s="7" t="s">
        <v>425</v>
      </c>
      <c r="K43" s="7" t="s">
        <v>191</v>
      </c>
      <c r="L43" s="7" t="s">
        <v>89</v>
      </c>
      <c r="M43" s="10" t="s">
        <v>90</v>
      </c>
      <c r="N43" s="12" t="s">
        <v>192</v>
      </c>
      <c r="O43" s="7" t="s">
        <v>92</v>
      </c>
      <c r="P43" s="13" t="s">
        <v>193</v>
      </c>
      <c r="Q43" s="7" t="s">
        <v>94</v>
      </c>
      <c r="R43" s="7" t="s">
        <v>141</v>
      </c>
      <c r="S43" s="7" t="s">
        <v>142</v>
      </c>
      <c r="T43" s="7" t="s">
        <v>359</v>
      </c>
      <c r="U43" s="7" t="s">
        <v>98</v>
      </c>
      <c r="V43" s="7" t="s">
        <v>99</v>
      </c>
    </row>
    <row r="44" ht="76" customHeight="1" spans="1:22" s="7" customFormat="1" x14ac:dyDescent="0.25">
      <c r="A44" s="7">
        <v>43</v>
      </c>
      <c r="B44" s="8" t="s">
        <v>426</v>
      </c>
      <c r="C44" s="7" t="s">
        <v>80</v>
      </c>
      <c r="D44" s="7" t="s">
        <v>352</v>
      </c>
      <c r="E44" s="7" t="s">
        <v>427</v>
      </c>
      <c r="F44" s="7" t="s">
        <v>428</v>
      </c>
      <c r="G44" s="7" t="s">
        <v>355</v>
      </c>
      <c r="H44" s="7" t="s">
        <v>429</v>
      </c>
      <c r="I44" s="9" t="s">
        <v>430</v>
      </c>
      <c r="J44" s="7" t="s">
        <v>431</v>
      </c>
      <c r="K44" s="7" t="s">
        <v>191</v>
      </c>
      <c r="L44" s="7" t="s">
        <v>89</v>
      </c>
      <c r="M44" s="10" t="s">
        <v>90</v>
      </c>
      <c r="N44" s="12" t="s">
        <v>192</v>
      </c>
      <c r="O44" s="7" t="s">
        <v>92</v>
      </c>
      <c r="P44" s="13" t="s">
        <v>193</v>
      </c>
      <c r="Q44" s="7" t="s">
        <v>94</v>
      </c>
      <c r="R44" s="7" t="s">
        <v>141</v>
      </c>
      <c r="S44" s="7" t="s">
        <v>142</v>
      </c>
      <c r="T44" s="7" t="s">
        <v>359</v>
      </c>
      <c r="U44" s="7" t="s">
        <v>98</v>
      </c>
      <c r="V44" s="7" t="s">
        <v>99</v>
      </c>
    </row>
    <row r="45" ht="76" customHeight="1" spans="1:22" s="7" customFormat="1" x14ac:dyDescent="0.25">
      <c r="A45" s="7">
        <v>44</v>
      </c>
      <c r="B45" s="8" t="s">
        <v>432</v>
      </c>
      <c r="C45" s="7" t="s">
        <v>80</v>
      </c>
      <c r="D45" s="7" t="s">
        <v>352</v>
      </c>
      <c r="E45" s="7" t="s">
        <v>433</v>
      </c>
      <c r="F45" s="7" t="s">
        <v>434</v>
      </c>
      <c r="G45" s="7" t="s">
        <v>355</v>
      </c>
      <c r="H45" s="7" t="s">
        <v>435</v>
      </c>
      <c r="I45" s="9" t="s">
        <v>436</v>
      </c>
      <c r="J45" s="7" t="s">
        <v>437</v>
      </c>
      <c r="K45" s="7" t="s">
        <v>191</v>
      </c>
      <c r="L45" s="7" t="s">
        <v>89</v>
      </c>
      <c r="M45" s="10" t="s">
        <v>90</v>
      </c>
      <c r="N45" s="12" t="s">
        <v>192</v>
      </c>
      <c r="O45" s="7" t="s">
        <v>92</v>
      </c>
      <c r="P45" s="13" t="s">
        <v>193</v>
      </c>
      <c r="Q45" s="7" t="s">
        <v>94</v>
      </c>
      <c r="R45" s="7" t="s">
        <v>141</v>
      </c>
      <c r="S45" s="7" t="s">
        <v>142</v>
      </c>
      <c r="T45" s="7" t="s">
        <v>359</v>
      </c>
      <c r="U45" s="7" t="s">
        <v>98</v>
      </c>
      <c r="V45" s="7" t="s">
        <v>99</v>
      </c>
    </row>
    <row r="46" ht="76" customHeight="1" spans="1:22" s="7" customFormat="1" x14ac:dyDescent="0.25">
      <c r="A46" s="7">
        <v>45</v>
      </c>
      <c r="B46" s="8" t="s">
        <v>438</v>
      </c>
      <c r="C46" s="7" t="s">
        <v>80</v>
      </c>
      <c r="D46" s="7" t="s">
        <v>352</v>
      </c>
      <c r="E46" s="7" t="s">
        <v>439</v>
      </c>
      <c r="F46" s="7" t="s">
        <v>440</v>
      </c>
      <c r="G46" s="7" t="s">
        <v>355</v>
      </c>
      <c r="H46" s="7" t="s">
        <v>441</v>
      </c>
      <c r="I46" s="9" t="s">
        <v>442</v>
      </c>
      <c r="J46" s="7" t="s">
        <v>443</v>
      </c>
      <c r="K46" s="7" t="s">
        <v>191</v>
      </c>
      <c r="L46" s="7" t="s">
        <v>89</v>
      </c>
      <c r="M46" s="10" t="s">
        <v>90</v>
      </c>
      <c r="N46" s="12" t="s">
        <v>192</v>
      </c>
      <c r="O46" s="7" t="s">
        <v>92</v>
      </c>
      <c r="P46" s="13" t="s">
        <v>193</v>
      </c>
      <c r="Q46" s="7" t="s">
        <v>94</v>
      </c>
      <c r="R46" s="7" t="s">
        <v>141</v>
      </c>
      <c r="S46" s="7" t="s">
        <v>142</v>
      </c>
      <c r="T46" s="7" t="s">
        <v>359</v>
      </c>
      <c r="U46" s="7" t="s">
        <v>98</v>
      </c>
      <c r="V46" s="7" t="s">
        <v>99</v>
      </c>
    </row>
    <row r="47" ht="76" customHeight="1" spans="1:22" s="7" customFormat="1" x14ac:dyDescent="0.25">
      <c r="A47" s="7">
        <v>46</v>
      </c>
      <c r="B47" s="8" t="s">
        <v>444</v>
      </c>
      <c r="C47" s="7" t="s">
        <v>80</v>
      </c>
      <c r="D47" s="7" t="s">
        <v>352</v>
      </c>
      <c r="E47" s="7" t="s">
        <v>445</v>
      </c>
      <c r="F47" s="7" t="s">
        <v>446</v>
      </c>
      <c r="G47" s="7" t="s">
        <v>355</v>
      </c>
      <c r="H47" s="7" t="s">
        <v>447</v>
      </c>
      <c r="I47" s="9" t="s">
        <v>448</v>
      </c>
      <c r="J47" s="7" t="s">
        <v>449</v>
      </c>
      <c r="K47" s="7" t="s">
        <v>191</v>
      </c>
      <c r="L47" s="7" t="s">
        <v>89</v>
      </c>
      <c r="M47" s="10" t="s">
        <v>90</v>
      </c>
      <c r="N47" s="12" t="s">
        <v>192</v>
      </c>
      <c r="O47" s="7" t="s">
        <v>92</v>
      </c>
      <c r="P47" s="13" t="s">
        <v>193</v>
      </c>
      <c r="Q47" s="7" t="s">
        <v>94</v>
      </c>
      <c r="R47" s="7" t="s">
        <v>141</v>
      </c>
      <c r="S47" s="7" t="s">
        <v>142</v>
      </c>
      <c r="T47" s="7" t="s">
        <v>359</v>
      </c>
      <c r="U47" s="7" t="s">
        <v>98</v>
      </c>
      <c r="V47" s="7" t="s">
        <v>99</v>
      </c>
    </row>
    <row r="48" ht="76" customHeight="1" spans="1:22" s="7" customFormat="1" x14ac:dyDescent="0.25">
      <c r="A48" s="7">
        <v>47</v>
      </c>
      <c r="B48" s="8" t="s">
        <v>450</v>
      </c>
      <c r="C48" s="7" t="s">
        <v>80</v>
      </c>
      <c r="D48" s="7" t="s">
        <v>451</v>
      </c>
      <c r="E48" s="7" t="s">
        <v>452</v>
      </c>
      <c r="F48" s="7" t="s">
        <v>453</v>
      </c>
      <c r="G48" s="7" t="s">
        <v>454</v>
      </c>
      <c r="H48" s="7" t="s">
        <v>455</v>
      </c>
      <c r="I48" s="9" t="s">
        <v>456</v>
      </c>
      <c r="J48" s="7" t="s">
        <v>457</v>
      </c>
      <c r="K48" s="7" t="s">
        <v>191</v>
      </c>
      <c r="L48" s="7" t="s">
        <v>89</v>
      </c>
      <c r="M48" s="10" t="s">
        <v>90</v>
      </c>
      <c r="N48" s="7" t="s">
        <v>91</v>
      </c>
      <c r="O48" s="7" t="s">
        <v>92</v>
      </c>
      <c r="P48" s="13" t="s">
        <v>193</v>
      </c>
      <c r="Q48" s="7" t="s">
        <v>94</v>
      </c>
      <c r="R48" s="7" t="s">
        <v>129</v>
      </c>
      <c r="S48" s="7" t="s">
        <v>130</v>
      </c>
      <c r="T48" s="7" t="s">
        <v>458</v>
      </c>
      <c r="U48" s="7" t="s">
        <v>98</v>
      </c>
      <c r="V48" s="7" t="s">
        <v>99</v>
      </c>
    </row>
    <row r="49" ht="76" customHeight="1" spans="1:22" s="7" customFormat="1" x14ac:dyDescent="0.25">
      <c r="A49" s="7">
        <v>48</v>
      </c>
      <c r="B49" s="8" t="s">
        <v>459</v>
      </c>
      <c r="C49" s="7" t="s">
        <v>80</v>
      </c>
      <c r="D49" s="7" t="s">
        <v>460</v>
      </c>
      <c r="E49" s="7" t="s">
        <v>461</v>
      </c>
      <c r="F49" s="7" t="s">
        <v>462</v>
      </c>
      <c r="G49" s="7" t="s">
        <v>463</v>
      </c>
      <c r="H49" s="7" t="s">
        <v>464</v>
      </c>
      <c r="I49" s="9" t="s">
        <v>465</v>
      </c>
      <c r="J49" s="7" t="s">
        <v>466</v>
      </c>
      <c r="K49" s="7" t="s">
        <v>191</v>
      </c>
      <c r="L49" s="7" t="s">
        <v>89</v>
      </c>
      <c r="M49" s="10" t="s">
        <v>90</v>
      </c>
      <c r="N49" s="7" t="s">
        <v>91</v>
      </c>
      <c r="O49" s="7" t="s">
        <v>92</v>
      </c>
      <c r="P49" s="13" t="s">
        <v>193</v>
      </c>
      <c r="Q49" s="7" t="s">
        <v>94</v>
      </c>
      <c r="R49" s="7" t="s">
        <v>129</v>
      </c>
      <c r="S49" s="7" t="s">
        <v>130</v>
      </c>
      <c r="T49" s="7" t="s">
        <v>467</v>
      </c>
      <c r="U49" s="7" t="s">
        <v>98</v>
      </c>
      <c r="V49" s="7" t="s">
        <v>99</v>
      </c>
    </row>
    <row r="50" ht="76" customHeight="1" spans="1:22" s="7" customFormat="1" x14ac:dyDescent="0.25">
      <c r="A50" s="7">
        <v>49</v>
      </c>
      <c r="B50" s="8" t="s">
        <v>468</v>
      </c>
      <c r="C50" s="7" t="s">
        <v>80</v>
      </c>
      <c r="D50" s="7" t="s">
        <v>469</v>
      </c>
      <c r="E50" s="7" t="s">
        <v>470</v>
      </c>
      <c r="F50" s="7" t="s">
        <v>471</v>
      </c>
      <c r="G50" s="7" t="s">
        <v>472</v>
      </c>
      <c r="H50" s="7" t="s">
        <v>473</v>
      </c>
      <c r="I50" s="9" t="s">
        <v>474</v>
      </c>
      <c r="J50" s="7" t="s">
        <v>475</v>
      </c>
      <c r="K50" s="7" t="s">
        <v>191</v>
      </c>
      <c r="L50" s="7" t="s">
        <v>89</v>
      </c>
      <c r="M50" s="10" t="s">
        <v>90</v>
      </c>
      <c r="N50" s="7" t="s">
        <v>91</v>
      </c>
      <c r="O50" s="7" t="s">
        <v>92</v>
      </c>
      <c r="P50" s="13" t="s">
        <v>193</v>
      </c>
      <c r="Q50" s="7" t="s">
        <v>94</v>
      </c>
      <c r="R50" s="7" t="s">
        <v>129</v>
      </c>
      <c r="S50" s="7" t="s">
        <v>130</v>
      </c>
      <c r="T50" s="7" t="s">
        <v>476</v>
      </c>
      <c r="U50" s="7" t="s">
        <v>98</v>
      </c>
      <c r="V50" s="7" t="s">
        <v>99</v>
      </c>
    </row>
  </sheetData>
  <pageMargins left="0.25" right="0.25" top="0.5" bottom="0.5" header="0.2" footer="0.2"/>
  <pageSetup paperSize="9" orientation="landscape" fitToWidth="1" fitToHeight="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5911"/>
    <pageSetUpPr fitToPage="1"/>
  </sheetPr>
  <dimension ref="A1:W35"/>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2" width="17" customWidth="1"/>
    <col min="3" max="3" width="15" customWidth="1"/>
    <col min="4" max="4" width="30" customWidth="1"/>
    <col min="5" max="5" width="46" customWidth="1"/>
    <col min="6" max="6" width="54" customWidth="1"/>
    <col min="7" max="7" width="52" customWidth="1"/>
    <col min="8" max="8" width="66" customWidth="1"/>
    <col min="9" max="9" width="46" customWidth="1"/>
    <col min="10" max="10" width="62" customWidth="1"/>
    <col min="11" max="11" width="20" customWidth="1"/>
    <col min="12" max="12" width="28" customWidth="1"/>
    <col min="13" max="13" width="10" customWidth="1"/>
    <col min="14" max="14" width="12" customWidth="1"/>
    <col min="15" max="15" width="25" customWidth="1"/>
    <col min="16" max="16" width="42" customWidth="1"/>
    <col min="17" max="17" width="54" customWidth="1"/>
    <col min="18" max="18" width="16" customWidth="1"/>
    <col min="19" max="19" width="48" customWidth="1"/>
    <col min="20" max="20" width="20" customWidth="1"/>
    <col min="21" max="21" width="18" customWidth="1"/>
    <col min="22" max="22" width="17" customWidth="1"/>
    <col min="23" max="23" width="40" customWidth="1"/>
  </cols>
  <sheetData>
    <row r="1" ht="30" customHeight="1" spans="1:23" s="14" customFormat="1" x14ac:dyDescent="0.25">
      <c r="A1" s="14" t="s">
        <v>59</v>
      </c>
      <c r="B1" s="14" t="s">
        <v>60</v>
      </c>
      <c r="C1" s="14" t="s">
        <v>61</v>
      </c>
      <c r="D1" s="14" t="s">
        <v>62</v>
      </c>
      <c r="E1" s="14" t="s">
        <v>63</v>
      </c>
      <c r="F1" s="14" t="s">
        <v>64</v>
      </c>
      <c r="G1" s="14" t="s">
        <v>65</v>
      </c>
      <c r="H1" s="14" t="s">
        <v>66</v>
      </c>
      <c r="I1" s="14" t="s">
        <v>477</v>
      </c>
      <c r="J1" s="14" t="s">
        <v>68</v>
      </c>
      <c r="K1" s="14" t="s">
        <v>478</v>
      </c>
      <c r="L1" s="14" t="s">
        <v>479</v>
      </c>
      <c r="M1" s="14" t="s">
        <v>71</v>
      </c>
      <c r="N1" s="14" t="s">
        <v>72</v>
      </c>
      <c r="O1" s="14" t="s">
        <v>480</v>
      </c>
      <c r="P1" s="14" t="s">
        <v>27</v>
      </c>
      <c r="Q1" s="14" t="s">
        <v>30</v>
      </c>
      <c r="R1" s="14" t="s">
        <v>481</v>
      </c>
      <c r="S1" s="14" t="s">
        <v>482</v>
      </c>
      <c r="T1" s="14" t="s">
        <v>483</v>
      </c>
      <c r="U1" s="14" t="s">
        <v>484</v>
      </c>
      <c r="V1" s="14" t="s">
        <v>485</v>
      </c>
      <c r="W1" s="14" t="s">
        <v>486</v>
      </c>
    </row>
    <row r="2" ht="76" customHeight="1" spans="1:23" s="7" customFormat="1" x14ac:dyDescent="0.25">
      <c r="A2" s="7">
        <v>1</v>
      </c>
      <c r="B2" s="8" t="s">
        <v>487</v>
      </c>
      <c r="C2" s="7" t="s">
        <v>80</v>
      </c>
      <c r="D2" s="7" t="s">
        <v>488</v>
      </c>
      <c r="E2" s="7" t="s">
        <v>489</v>
      </c>
      <c r="F2" s="7" t="s">
        <v>490</v>
      </c>
      <c r="G2" s="7" t="s">
        <v>491</v>
      </c>
      <c r="H2" s="7" t="s">
        <v>492</v>
      </c>
      <c r="I2" s="7" t="s">
        <v>493</v>
      </c>
      <c r="J2" s="7" t="s">
        <v>494</v>
      </c>
      <c r="K2" s="7" t="s">
        <v>495</v>
      </c>
      <c r="L2" s="7" t="s">
        <v>496</v>
      </c>
      <c r="M2" s="11" t="s">
        <v>127</v>
      </c>
      <c r="N2" s="7" t="s">
        <v>128</v>
      </c>
      <c r="O2" s="7" t="s">
        <v>497</v>
      </c>
      <c r="P2" s="7" t="s">
        <v>498</v>
      </c>
      <c r="Q2" s="7" t="s">
        <v>499</v>
      </c>
      <c r="R2" s="15" t="s">
        <v>500</v>
      </c>
      <c r="S2" s="15" t="s">
        <v>99</v>
      </c>
      <c r="T2" s="15" t="s">
        <v>99</v>
      </c>
      <c r="U2" s="15" t="s">
        <v>99</v>
      </c>
      <c r="V2" s="15" t="s">
        <v>99</v>
      </c>
      <c r="W2" s="15" t="s">
        <v>99</v>
      </c>
    </row>
    <row r="3" ht="76" customHeight="1" spans="1:23" s="7" customFormat="1" x14ac:dyDescent="0.25">
      <c r="A3" s="7">
        <v>2</v>
      </c>
      <c r="B3" s="8" t="s">
        <v>501</v>
      </c>
      <c r="C3" s="7" t="s">
        <v>80</v>
      </c>
      <c r="D3" s="7" t="s">
        <v>502</v>
      </c>
      <c r="E3" s="7" t="s">
        <v>503</v>
      </c>
      <c r="F3" s="7" t="s">
        <v>504</v>
      </c>
      <c r="G3" s="7" t="s">
        <v>505</v>
      </c>
      <c r="H3" s="7" t="s">
        <v>506</v>
      </c>
      <c r="I3" s="7" t="s">
        <v>507</v>
      </c>
      <c r="J3" s="7" t="s">
        <v>508</v>
      </c>
      <c r="K3" s="7" t="s">
        <v>509</v>
      </c>
      <c r="L3" s="7" t="s">
        <v>510</v>
      </c>
      <c r="M3" s="10" t="s">
        <v>90</v>
      </c>
      <c r="N3" s="7" t="s">
        <v>91</v>
      </c>
      <c r="O3" s="7" t="s">
        <v>511</v>
      </c>
      <c r="P3" s="7" t="s">
        <v>498</v>
      </c>
      <c r="Q3" s="7" t="s">
        <v>512</v>
      </c>
      <c r="R3" s="15" t="s">
        <v>500</v>
      </c>
      <c r="S3" s="15" t="s">
        <v>99</v>
      </c>
      <c r="T3" s="15" t="s">
        <v>99</v>
      </c>
      <c r="U3" s="15" t="s">
        <v>99</v>
      </c>
      <c r="V3" s="15" t="s">
        <v>99</v>
      </c>
      <c r="W3" s="15" t="s">
        <v>99</v>
      </c>
    </row>
    <row r="4" ht="76" customHeight="1" spans="1:23" s="7" customFormat="1" x14ac:dyDescent="0.25">
      <c r="A4" s="7">
        <v>3</v>
      </c>
      <c r="B4" s="8" t="s">
        <v>513</v>
      </c>
      <c r="C4" s="7" t="s">
        <v>80</v>
      </c>
      <c r="D4" s="7" t="s">
        <v>514</v>
      </c>
      <c r="E4" s="7" t="s">
        <v>515</v>
      </c>
      <c r="F4" s="7" t="s">
        <v>516</v>
      </c>
      <c r="G4" s="7" t="s">
        <v>517</v>
      </c>
      <c r="H4" s="7" t="s">
        <v>518</v>
      </c>
      <c r="I4" s="7" t="s">
        <v>519</v>
      </c>
      <c r="J4" s="7" t="s">
        <v>520</v>
      </c>
      <c r="K4" s="7" t="s">
        <v>521</v>
      </c>
      <c r="L4" s="7" t="s">
        <v>522</v>
      </c>
      <c r="M4" s="10" t="s">
        <v>90</v>
      </c>
      <c r="N4" s="7" t="s">
        <v>91</v>
      </c>
      <c r="O4" s="7" t="s">
        <v>523</v>
      </c>
      <c r="P4" s="7" t="s">
        <v>524</v>
      </c>
      <c r="Q4" s="7" t="s">
        <v>525</v>
      </c>
      <c r="R4" s="15" t="s">
        <v>500</v>
      </c>
      <c r="S4" s="15" t="s">
        <v>99</v>
      </c>
      <c r="T4" s="15" t="s">
        <v>99</v>
      </c>
      <c r="U4" s="15" t="s">
        <v>99</v>
      </c>
      <c r="V4" s="15" t="s">
        <v>99</v>
      </c>
      <c r="W4" s="15" t="s">
        <v>99</v>
      </c>
    </row>
    <row r="5" ht="76" customHeight="1" spans="1:23" s="7" customFormat="1" x14ac:dyDescent="0.25">
      <c r="A5" s="7">
        <v>4</v>
      </c>
      <c r="B5" s="8" t="s">
        <v>526</v>
      </c>
      <c r="C5" s="7" t="s">
        <v>80</v>
      </c>
      <c r="D5" s="7" t="s">
        <v>527</v>
      </c>
      <c r="E5" s="7" t="s">
        <v>528</v>
      </c>
      <c r="F5" s="7" t="s">
        <v>529</v>
      </c>
      <c r="G5" s="7" t="s">
        <v>530</v>
      </c>
      <c r="H5" s="7" t="s">
        <v>531</v>
      </c>
      <c r="I5" s="7" t="s">
        <v>532</v>
      </c>
      <c r="J5" s="7" t="s">
        <v>533</v>
      </c>
      <c r="K5" s="7" t="s">
        <v>534</v>
      </c>
      <c r="L5" s="7" t="s">
        <v>535</v>
      </c>
      <c r="M5" s="11" t="s">
        <v>127</v>
      </c>
      <c r="N5" s="7" t="s">
        <v>128</v>
      </c>
      <c r="O5" s="7" t="s">
        <v>536</v>
      </c>
      <c r="P5" s="7" t="s">
        <v>498</v>
      </c>
      <c r="Q5" s="7" t="s">
        <v>537</v>
      </c>
      <c r="R5" s="15" t="s">
        <v>500</v>
      </c>
      <c r="S5" s="15" t="s">
        <v>99</v>
      </c>
      <c r="T5" s="15" t="s">
        <v>99</v>
      </c>
      <c r="U5" s="15" t="s">
        <v>99</v>
      </c>
      <c r="V5" s="15" t="s">
        <v>99</v>
      </c>
      <c r="W5" s="15" t="s">
        <v>99</v>
      </c>
    </row>
    <row r="6" ht="76" customHeight="1" spans="1:23" s="7" customFormat="1" x14ac:dyDescent="0.25">
      <c r="A6" s="7">
        <v>5</v>
      </c>
      <c r="B6" s="8" t="s">
        <v>538</v>
      </c>
      <c r="C6" s="7" t="s">
        <v>80</v>
      </c>
      <c r="D6" s="7" t="s">
        <v>539</v>
      </c>
      <c r="E6" s="7" t="s">
        <v>540</v>
      </c>
      <c r="F6" s="7" t="s">
        <v>541</v>
      </c>
      <c r="G6" s="7" t="s">
        <v>542</v>
      </c>
      <c r="H6" s="7" t="s">
        <v>543</v>
      </c>
      <c r="I6" s="7" t="s">
        <v>544</v>
      </c>
      <c r="J6" s="7" t="s">
        <v>545</v>
      </c>
      <c r="K6" s="7" t="s">
        <v>546</v>
      </c>
      <c r="L6" s="7" t="s">
        <v>547</v>
      </c>
      <c r="M6" s="11" t="s">
        <v>127</v>
      </c>
      <c r="N6" s="7" t="s">
        <v>128</v>
      </c>
      <c r="O6" s="7" t="s">
        <v>497</v>
      </c>
      <c r="P6" s="7" t="s">
        <v>498</v>
      </c>
      <c r="Q6" s="7" t="s">
        <v>548</v>
      </c>
      <c r="R6" s="15" t="s">
        <v>500</v>
      </c>
      <c r="S6" s="15" t="s">
        <v>99</v>
      </c>
      <c r="T6" s="15" t="s">
        <v>99</v>
      </c>
      <c r="U6" s="15" t="s">
        <v>99</v>
      </c>
      <c r="V6" s="15" t="s">
        <v>99</v>
      </c>
      <c r="W6" s="15" t="s">
        <v>99</v>
      </c>
    </row>
    <row r="7" ht="76" customHeight="1" spans="1:23" s="7" customFormat="1" x14ac:dyDescent="0.25">
      <c r="A7" s="7">
        <v>6</v>
      </c>
      <c r="B7" s="8" t="s">
        <v>549</v>
      </c>
      <c r="C7" s="7" t="s">
        <v>80</v>
      </c>
      <c r="D7" s="7" t="s">
        <v>550</v>
      </c>
      <c r="E7" s="7" t="s">
        <v>551</v>
      </c>
      <c r="F7" s="7" t="s">
        <v>552</v>
      </c>
      <c r="G7" s="7" t="s">
        <v>553</v>
      </c>
      <c r="H7" s="7" t="s">
        <v>554</v>
      </c>
      <c r="I7" s="7" t="s">
        <v>555</v>
      </c>
      <c r="J7" s="7" t="s">
        <v>556</v>
      </c>
      <c r="K7" s="7" t="s">
        <v>495</v>
      </c>
      <c r="L7" s="7" t="s">
        <v>557</v>
      </c>
      <c r="M7" s="11" t="s">
        <v>127</v>
      </c>
      <c r="N7" s="7" t="s">
        <v>128</v>
      </c>
      <c r="O7" s="7" t="s">
        <v>497</v>
      </c>
      <c r="P7" s="7" t="s">
        <v>524</v>
      </c>
      <c r="Q7" s="7" t="s">
        <v>558</v>
      </c>
      <c r="R7" s="15" t="s">
        <v>500</v>
      </c>
      <c r="S7" s="15" t="s">
        <v>99</v>
      </c>
      <c r="T7" s="15" t="s">
        <v>99</v>
      </c>
      <c r="U7" s="15" t="s">
        <v>99</v>
      </c>
      <c r="V7" s="15" t="s">
        <v>99</v>
      </c>
      <c r="W7" s="15" t="s">
        <v>99</v>
      </c>
    </row>
    <row r="8" ht="76" customHeight="1" spans="1:23" s="7" customFormat="1" x14ac:dyDescent="0.25">
      <c r="A8" s="7">
        <v>7</v>
      </c>
      <c r="B8" s="8" t="s">
        <v>559</v>
      </c>
      <c r="C8" s="7" t="s">
        <v>80</v>
      </c>
      <c r="D8" s="7" t="s">
        <v>560</v>
      </c>
      <c r="E8" s="7" t="s">
        <v>561</v>
      </c>
      <c r="F8" s="7" t="s">
        <v>562</v>
      </c>
      <c r="G8" s="7" t="s">
        <v>563</v>
      </c>
      <c r="H8" s="7" t="s">
        <v>564</v>
      </c>
      <c r="I8" s="7" t="s">
        <v>565</v>
      </c>
      <c r="J8" s="7" t="s">
        <v>566</v>
      </c>
      <c r="K8" s="7" t="s">
        <v>567</v>
      </c>
      <c r="L8" s="7" t="s">
        <v>568</v>
      </c>
      <c r="M8" s="11" t="s">
        <v>127</v>
      </c>
      <c r="N8" s="7" t="s">
        <v>128</v>
      </c>
      <c r="O8" s="7" t="s">
        <v>497</v>
      </c>
      <c r="P8" s="7" t="s">
        <v>524</v>
      </c>
      <c r="Q8" s="7" t="s">
        <v>569</v>
      </c>
      <c r="R8" s="15" t="s">
        <v>500</v>
      </c>
      <c r="S8" s="15" t="s">
        <v>99</v>
      </c>
      <c r="T8" s="15" t="s">
        <v>99</v>
      </c>
      <c r="U8" s="15" t="s">
        <v>99</v>
      </c>
      <c r="V8" s="15" t="s">
        <v>99</v>
      </c>
      <c r="W8" s="15" t="s">
        <v>99</v>
      </c>
    </row>
    <row r="9" ht="76" customHeight="1" spans="1:23" s="7" customFormat="1" x14ac:dyDescent="0.25">
      <c r="A9" s="7">
        <v>8</v>
      </c>
      <c r="B9" s="8" t="s">
        <v>570</v>
      </c>
      <c r="C9" s="7" t="s">
        <v>80</v>
      </c>
      <c r="D9" s="7" t="s">
        <v>571</v>
      </c>
      <c r="E9" s="7" t="s">
        <v>572</v>
      </c>
      <c r="F9" s="7" t="s">
        <v>573</v>
      </c>
      <c r="G9" s="7" t="s">
        <v>574</v>
      </c>
      <c r="H9" s="7" t="s">
        <v>575</v>
      </c>
      <c r="I9" s="7" t="s">
        <v>576</v>
      </c>
      <c r="J9" s="7" t="s">
        <v>577</v>
      </c>
      <c r="K9" s="7" t="s">
        <v>578</v>
      </c>
      <c r="L9" s="7" t="s">
        <v>579</v>
      </c>
      <c r="M9" s="11" t="s">
        <v>127</v>
      </c>
      <c r="N9" s="7" t="s">
        <v>128</v>
      </c>
      <c r="O9" s="7" t="s">
        <v>497</v>
      </c>
      <c r="P9" s="7" t="s">
        <v>498</v>
      </c>
      <c r="Q9" s="7" t="s">
        <v>580</v>
      </c>
      <c r="R9" s="15" t="s">
        <v>500</v>
      </c>
      <c r="S9" s="15" t="s">
        <v>99</v>
      </c>
      <c r="T9" s="15" t="s">
        <v>99</v>
      </c>
      <c r="U9" s="15" t="s">
        <v>99</v>
      </c>
      <c r="V9" s="15" t="s">
        <v>99</v>
      </c>
      <c r="W9" s="15" t="s">
        <v>99</v>
      </c>
    </row>
    <row r="10" ht="76" customHeight="1" spans="1:23" s="7" customFormat="1" x14ac:dyDescent="0.25">
      <c r="A10" s="7">
        <v>9</v>
      </c>
      <c r="B10" s="8" t="s">
        <v>581</v>
      </c>
      <c r="C10" s="7" t="s">
        <v>80</v>
      </c>
      <c r="D10" s="7" t="s">
        <v>582</v>
      </c>
      <c r="E10" s="7" t="s">
        <v>583</v>
      </c>
      <c r="F10" s="7" t="s">
        <v>584</v>
      </c>
      <c r="G10" s="7" t="s">
        <v>585</v>
      </c>
      <c r="H10" s="7" t="s">
        <v>586</v>
      </c>
      <c r="I10" s="7" t="s">
        <v>587</v>
      </c>
      <c r="J10" s="7" t="s">
        <v>588</v>
      </c>
      <c r="K10" s="7" t="s">
        <v>589</v>
      </c>
      <c r="L10" s="7" t="s">
        <v>590</v>
      </c>
      <c r="M10" s="11" t="s">
        <v>127</v>
      </c>
      <c r="N10" s="7" t="s">
        <v>91</v>
      </c>
      <c r="O10" s="7" t="s">
        <v>591</v>
      </c>
      <c r="P10" s="7" t="s">
        <v>524</v>
      </c>
      <c r="Q10" s="7" t="s">
        <v>592</v>
      </c>
      <c r="R10" s="15" t="s">
        <v>500</v>
      </c>
      <c r="S10" s="15" t="s">
        <v>99</v>
      </c>
      <c r="T10" s="15" t="s">
        <v>99</v>
      </c>
      <c r="U10" s="15" t="s">
        <v>99</v>
      </c>
      <c r="V10" s="15" t="s">
        <v>99</v>
      </c>
      <c r="W10" s="15" t="s">
        <v>99</v>
      </c>
    </row>
    <row r="11" ht="76" customHeight="1" spans="1:23" s="7" customFormat="1" x14ac:dyDescent="0.25">
      <c r="A11" s="7">
        <v>10</v>
      </c>
      <c r="B11" s="8" t="s">
        <v>593</v>
      </c>
      <c r="C11" s="7" t="s">
        <v>80</v>
      </c>
      <c r="D11" s="7" t="s">
        <v>582</v>
      </c>
      <c r="E11" s="7" t="s">
        <v>594</v>
      </c>
      <c r="F11" s="7" t="s">
        <v>595</v>
      </c>
      <c r="G11" s="7" t="s">
        <v>596</v>
      </c>
      <c r="H11" s="7" t="s">
        <v>597</v>
      </c>
      <c r="I11" s="7" t="s">
        <v>598</v>
      </c>
      <c r="J11" s="7" t="s">
        <v>599</v>
      </c>
      <c r="K11" s="7" t="s">
        <v>600</v>
      </c>
      <c r="L11" s="7" t="s">
        <v>601</v>
      </c>
      <c r="M11" s="11" t="s">
        <v>127</v>
      </c>
      <c r="N11" s="7" t="s">
        <v>91</v>
      </c>
      <c r="O11" s="7" t="s">
        <v>497</v>
      </c>
      <c r="P11" s="7" t="s">
        <v>524</v>
      </c>
      <c r="Q11" s="7" t="s">
        <v>602</v>
      </c>
      <c r="R11" s="15" t="s">
        <v>500</v>
      </c>
      <c r="S11" s="15" t="s">
        <v>99</v>
      </c>
      <c r="T11" s="15" t="s">
        <v>99</v>
      </c>
      <c r="U11" s="15" t="s">
        <v>99</v>
      </c>
      <c r="V11" s="15" t="s">
        <v>99</v>
      </c>
      <c r="W11" s="15" t="s">
        <v>99</v>
      </c>
    </row>
    <row r="12" ht="76" customHeight="1" spans="1:23" s="7" customFormat="1" x14ac:dyDescent="0.25">
      <c r="A12" s="7">
        <v>11</v>
      </c>
      <c r="B12" s="8" t="s">
        <v>603</v>
      </c>
      <c r="C12" s="7" t="s">
        <v>80</v>
      </c>
      <c r="D12" s="7" t="s">
        <v>604</v>
      </c>
      <c r="E12" s="7" t="s">
        <v>605</v>
      </c>
      <c r="F12" s="7" t="s">
        <v>606</v>
      </c>
      <c r="G12" s="7" t="s">
        <v>607</v>
      </c>
      <c r="H12" s="7" t="s">
        <v>608</v>
      </c>
      <c r="I12" s="7" t="s">
        <v>609</v>
      </c>
      <c r="J12" s="7" t="s">
        <v>610</v>
      </c>
      <c r="K12" s="7" t="s">
        <v>611</v>
      </c>
      <c r="L12" s="7" t="s">
        <v>612</v>
      </c>
      <c r="M12" s="11" t="s">
        <v>127</v>
      </c>
      <c r="N12" s="7" t="s">
        <v>128</v>
      </c>
      <c r="O12" s="7" t="s">
        <v>497</v>
      </c>
      <c r="P12" s="7" t="s">
        <v>498</v>
      </c>
      <c r="Q12" s="7" t="s">
        <v>613</v>
      </c>
      <c r="R12" s="15" t="s">
        <v>500</v>
      </c>
      <c r="S12" s="15" t="s">
        <v>99</v>
      </c>
      <c r="T12" s="15" t="s">
        <v>99</v>
      </c>
      <c r="U12" s="15" t="s">
        <v>99</v>
      </c>
      <c r="V12" s="15" t="s">
        <v>99</v>
      </c>
      <c r="W12" s="15" t="s">
        <v>99</v>
      </c>
    </row>
    <row r="13" ht="76" customHeight="1" spans="1:23" s="7" customFormat="1" x14ac:dyDescent="0.25">
      <c r="A13" s="7">
        <v>12</v>
      </c>
      <c r="B13" s="8" t="s">
        <v>614</v>
      </c>
      <c r="C13" s="7" t="s">
        <v>80</v>
      </c>
      <c r="D13" s="7" t="s">
        <v>615</v>
      </c>
      <c r="E13" s="7" t="s">
        <v>616</v>
      </c>
      <c r="F13" s="7" t="s">
        <v>617</v>
      </c>
      <c r="G13" s="7" t="s">
        <v>618</v>
      </c>
      <c r="H13" s="7" t="s">
        <v>619</v>
      </c>
      <c r="I13" s="7" t="s">
        <v>620</v>
      </c>
      <c r="J13" s="7" t="s">
        <v>621</v>
      </c>
      <c r="K13" s="7" t="s">
        <v>622</v>
      </c>
      <c r="L13" s="7" t="s">
        <v>623</v>
      </c>
      <c r="M13" s="10" t="s">
        <v>90</v>
      </c>
      <c r="N13" s="7" t="s">
        <v>91</v>
      </c>
      <c r="O13" s="7" t="s">
        <v>497</v>
      </c>
      <c r="P13" s="7" t="s">
        <v>524</v>
      </c>
      <c r="Q13" s="7" t="s">
        <v>624</v>
      </c>
      <c r="R13" s="15" t="s">
        <v>500</v>
      </c>
      <c r="S13" s="15" t="s">
        <v>99</v>
      </c>
      <c r="T13" s="15" t="s">
        <v>99</v>
      </c>
      <c r="U13" s="15" t="s">
        <v>99</v>
      </c>
      <c r="V13" s="15" t="s">
        <v>99</v>
      </c>
      <c r="W13" s="15" t="s">
        <v>99</v>
      </c>
    </row>
    <row r="14" ht="76" customHeight="1" spans="1:23" s="7" customFormat="1" x14ac:dyDescent="0.25">
      <c r="A14" s="7">
        <v>13</v>
      </c>
      <c r="B14" s="8" t="s">
        <v>625</v>
      </c>
      <c r="C14" s="7" t="s">
        <v>80</v>
      </c>
      <c r="D14" s="7" t="s">
        <v>626</v>
      </c>
      <c r="E14" s="7" t="s">
        <v>627</v>
      </c>
      <c r="F14" s="7" t="s">
        <v>628</v>
      </c>
      <c r="G14" s="7" t="s">
        <v>629</v>
      </c>
      <c r="H14" s="7" t="s">
        <v>630</v>
      </c>
      <c r="I14" s="7" t="s">
        <v>631</v>
      </c>
      <c r="J14" s="7" t="s">
        <v>632</v>
      </c>
      <c r="K14" s="7" t="s">
        <v>622</v>
      </c>
      <c r="L14" s="7" t="s">
        <v>633</v>
      </c>
      <c r="M14" s="10" t="s">
        <v>90</v>
      </c>
      <c r="N14" s="7" t="s">
        <v>91</v>
      </c>
      <c r="O14" s="7" t="s">
        <v>497</v>
      </c>
      <c r="P14" s="7" t="s">
        <v>524</v>
      </c>
      <c r="Q14" s="7" t="s">
        <v>624</v>
      </c>
      <c r="R14" s="15" t="s">
        <v>500</v>
      </c>
      <c r="S14" s="15" t="s">
        <v>99</v>
      </c>
      <c r="T14" s="15" t="s">
        <v>99</v>
      </c>
      <c r="U14" s="15" t="s">
        <v>99</v>
      </c>
      <c r="V14" s="15" t="s">
        <v>99</v>
      </c>
      <c r="W14" s="15" t="s">
        <v>99</v>
      </c>
    </row>
    <row r="15" ht="76" customHeight="1" spans="1:23" s="7" customFormat="1" x14ac:dyDescent="0.25">
      <c r="A15" s="7">
        <v>14</v>
      </c>
      <c r="B15" s="8" t="s">
        <v>634</v>
      </c>
      <c r="C15" s="7" t="s">
        <v>80</v>
      </c>
      <c r="D15" s="7" t="s">
        <v>635</v>
      </c>
      <c r="E15" s="7" t="s">
        <v>636</v>
      </c>
      <c r="F15" s="7" t="s">
        <v>637</v>
      </c>
      <c r="G15" s="7" t="s">
        <v>638</v>
      </c>
      <c r="H15" s="7" t="s">
        <v>639</v>
      </c>
      <c r="I15" s="7" t="s">
        <v>640</v>
      </c>
      <c r="J15" s="7" t="s">
        <v>641</v>
      </c>
      <c r="K15" s="7" t="s">
        <v>642</v>
      </c>
      <c r="L15" s="7" t="s">
        <v>643</v>
      </c>
      <c r="M15" s="10" t="s">
        <v>90</v>
      </c>
      <c r="N15" s="7" t="s">
        <v>91</v>
      </c>
      <c r="O15" s="7" t="s">
        <v>497</v>
      </c>
      <c r="P15" s="7" t="s">
        <v>498</v>
      </c>
      <c r="Q15" s="7" t="s">
        <v>644</v>
      </c>
      <c r="R15" s="15" t="s">
        <v>500</v>
      </c>
      <c r="S15" s="15" t="s">
        <v>99</v>
      </c>
      <c r="T15" s="15" t="s">
        <v>99</v>
      </c>
      <c r="U15" s="15" t="s">
        <v>99</v>
      </c>
      <c r="V15" s="15" t="s">
        <v>99</v>
      </c>
      <c r="W15" s="15" t="s">
        <v>99</v>
      </c>
    </row>
    <row r="16" ht="76" customHeight="1" spans="1:23" s="7" customFormat="1" x14ac:dyDescent="0.25">
      <c r="A16" s="7">
        <v>15</v>
      </c>
      <c r="B16" s="8" t="s">
        <v>645</v>
      </c>
      <c r="C16" s="7" t="s">
        <v>80</v>
      </c>
      <c r="D16" s="7" t="s">
        <v>646</v>
      </c>
      <c r="E16" s="7" t="s">
        <v>647</v>
      </c>
      <c r="F16" s="7" t="s">
        <v>648</v>
      </c>
      <c r="G16" s="7" t="s">
        <v>649</v>
      </c>
      <c r="H16" s="7" t="s">
        <v>650</v>
      </c>
      <c r="I16" s="7" t="s">
        <v>651</v>
      </c>
      <c r="J16" s="7" t="s">
        <v>652</v>
      </c>
      <c r="K16" s="7" t="s">
        <v>653</v>
      </c>
      <c r="L16" s="7" t="s">
        <v>654</v>
      </c>
      <c r="M16" s="10" t="s">
        <v>90</v>
      </c>
      <c r="N16" s="7" t="s">
        <v>91</v>
      </c>
      <c r="O16" s="7" t="s">
        <v>497</v>
      </c>
      <c r="P16" s="7" t="s">
        <v>524</v>
      </c>
      <c r="Q16" s="7" t="s">
        <v>655</v>
      </c>
      <c r="R16" s="15" t="s">
        <v>500</v>
      </c>
      <c r="S16" s="15" t="s">
        <v>99</v>
      </c>
      <c r="T16" s="15" t="s">
        <v>99</v>
      </c>
      <c r="U16" s="15" t="s">
        <v>99</v>
      </c>
      <c r="V16" s="15" t="s">
        <v>99</v>
      </c>
      <c r="W16" s="15" t="s">
        <v>99</v>
      </c>
    </row>
    <row r="17" ht="76" customHeight="1" spans="1:23" s="7" customFormat="1" x14ac:dyDescent="0.25">
      <c r="A17" s="7">
        <v>16</v>
      </c>
      <c r="B17" s="8" t="s">
        <v>656</v>
      </c>
      <c r="C17" s="7" t="s">
        <v>80</v>
      </c>
      <c r="D17" s="7" t="s">
        <v>657</v>
      </c>
      <c r="E17" s="7" t="s">
        <v>658</v>
      </c>
      <c r="F17" s="7" t="s">
        <v>659</v>
      </c>
      <c r="G17" s="7" t="s">
        <v>660</v>
      </c>
      <c r="H17" s="7" t="s">
        <v>661</v>
      </c>
      <c r="I17" s="7" t="s">
        <v>662</v>
      </c>
      <c r="J17" s="7" t="s">
        <v>663</v>
      </c>
      <c r="K17" s="7" t="s">
        <v>664</v>
      </c>
      <c r="L17" s="7" t="s">
        <v>665</v>
      </c>
      <c r="M17" s="10" t="s">
        <v>90</v>
      </c>
      <c r="N17" s="7" t="s">
        <v>91</v>
      </c>
      <c r="O17" s="7" t="s">
        <v>497</v>
      </c>
      <c r="P17" s="7" t="s">
        <v>524</v>
      </c>
      <c r="Q17" s="7" t="s">
        <v>666</v>
      </c>
      <c r="R17" s="15" t="s">
        <v>500</v>
      </c>
      <c r="S17" s="15" t="s">
        <v>99</v>
      </c>
      <c r="T17" s="15" t="s">
        <v>99</v>
      </c>
      <c r="U17" s="15" t="s">
        <v>99</v>
      </c>
      <c r="V17" s="15" t="s">
        <v>99</v>
      </c>
      <c r="W17" s="15" t="s">
        <v>99</v>
      </c>
    </row>
    <row r="18" ht="76" customHeight="1" spans="1:23" s="7" customFormat="1" x14ac:dyDescent="0.25">
      <c r="A18" s="7">
        <v>17</v>
      </c>
      <c r="B18" s="8" t="s">
        <v>667</v>
      </c>
      <c r="C18" s="7" t="s">
        <v>80</v>
      </c>
      <c r="D18" s="7" t="s">
        <v>668</v>
      </c>
      <c r="E18" s="7" t="s">
        <v>669</v>
      </c>
      <c r="F18" s="7" t="s">
        <v>670</v>
      </c>
      <c r="G18" s="7" t="s">
        <v>671</v>
      </c>
      <c r="H18" s="7" t="s">
        <v>672</v>
      </c>
      <c r="I18" s="7" t="s">
        <v>673</v>
      </c>
      <c r="J18" s="7" t="s">
        <v>674</v>
      </c>
      <c r="K18" s="7" t="s">
        <v>653</v>
      </c>
      <c r="L18" s="7" t="s">
        <v>675</v>
      </c>
      <c r="M18" s="11" t="s">
        <v>127</v>
      </c>
      <c r="N18" s="7" t="s">
        <v>128</v>
      </c>
      <c r="O18" s="7" t="s">
        <v>497</v>
      </c>
      <c r="P18" s="7" t="s">
        <v>524</v>
      </c>
      <c r="Q18" s="7" t="s">
        <v>655</v>
      </c>
      <c r="R18" s="15" t="s">
        <v>500</v>
      </c>
      <c r="S18" s="15" t="s">
        <v>99</v>
      </c>
      <c r="T18" s="15" t="s">
        <v>99</v>
      </c>
      <c r="U18" s="15" t="s">
        <v>99</v>
      </c>
      <c r="V18" s="15" t="s">
        <v>99</v>
      </c>
      <c r="W18" s="15" t="s">
        <v>99</v>
      </c>
    </row>
    <row r="19" ht="76" customHeight="1" spans="1:23" s="7" customFormat="1" x14ac:dyDescent="0.25">
      <c r="A19" s="7">
        <v>18</v>
      </c>
      <c r="B19" s="8" t="s">
        <v>676</v>
      </c>
      <c r="C19" s="7" t="s">
        <v>80</v>
      </c>
      <c r="D19" s="7" t="s">
        <v>677</v>
      </c>
      <c r="E19" s="7" t="s">
        <v>678</v>
      </c>
      <c r="F19" s="7" t="s">
        <v>679</v>
      </c>
      <c r="G19" s="7" t="s">
        <v>680</v>
      </c>
      <c r="H19" s="7" t="s">
        <v>681</v>
      </c>
      <c r="I19" s="7" t="s">
        <v>682</v>
      </c>
      <c r="J19" s="7" t="s">
        <v>683</v>
      </c>
      <c r="K19" s="7" t="s">
        <v>664</v>
      </c>
      <c r="L19" s="7" t="s">
        <v>684</v>
      </c>
      <c r="M19" s="10" t="s">
        <v>90</v>
      </c>
      <c r="N19" s="7" t="s">
        <v>91</v>
      </c>
      <c r="O19" s="7" t="s">
        <v>497</v>
      </c>
      <c r="P19" s="7" t="s">
        <v>685</v>
      </c>
      <c r="Q19" s="7" t="s">
        <v>686</v>
      </c>
      <c r="R19" s="15" t="s">
        <v>500</v>
      </c>
      <c r="S19" s="15" t="s">
        <v>99</v>
      </c>
      <c r="T19" s="15" t="s">
        <v>99</v>
      </c>
      <c r="U19" s="15" t="s">
        <v>99</v>
      </c>
      <c r="V19" s="15" t="s">
        <v>99</v>
      </c>
      <c r="W19" s="15" t="s">
        <v>99</v>
      </c>
    </row>
    <row r="20" ht="76" customHeight="1" spans="1:23" s="7" customFormat="1" x14ac:dyDescent="0.25">
      <c r="A20" s="7">
        <v>19</v>
      </c>
      <c r="B20" s="8" t="s">
        <v>687</v>
      </c>
      <c r="C20" s="7" t="s">
        <v>80</v>
      </c>
      <c r="D20" s="7" t="s">
        <v>688</v>
      </c>
      <c r="E20" s="7" t="s">
        <v>689</v>
      </c>
      <c r="F20" s="7" t="s">
        <v>690</v>
      </c>
      <c r="G20" s="7" t="s">
        <v>691</v>
      </c>
      <c r="H20" s="7" t="s">
        <v>692</v>
      </c>
      <c r="I20" s="7" t="s">
        <v>693</v>
      </c>
      <c r="J20" s="7" t="s">
        <v>694</v>
      </c>
      <c r="K20" s="7" t="s">
        <v>695</v>
      </c>
      <c r="L20" s="7" t="s">
        <v>696</v>
      </c>
      <c r="M20" s="11" t="s">
        <v>127</v>
      </c>
      <c r="N20" s="7" t="s">
        <v>91</v>
      </c>
      <c r="O20" s="7" t="s">
        <v>497</v>
      </c>
      <c r="P20" s="7" t="s">
        <v>697</v>
      </c>
      <c r="Q20" s="7" t="s">
        <v>698</v>
      </c>
      <c r="R20" s="15" t="s">
        <v>500</v>
      </c>
      <c r="S20" s="15" t="s">
        <v>99</v>
      </c>
      <c r="T20" s="15" t="s">
        <v>99</v>
      </c>
      <c r="U20" s="15" t="s">
        <v>99</v>
      </c>
      <c r="V20" s="15" t="s">
        <v>99</v>
      </c>
      <c r="W20" s="15" t="s">
        <v>99</v>
      </c>
    </row>
    <row r="21" ht="76" customHeight="1" spans="1:23" s="7" customFormat="1" x14ac:dyDescent="0.25">
      <c r="A21" s="7">
        <v>20</v>
      </c>
      <c r="B21" s="8" t="s">
        <v>699</v>
      </c>
      <c r="C21" s="7" t="s">
        <v>80</v>
      </c>
      <c r="D21" s="7" t="s">
        <v>700</v>
      </c>
      <c r="E21" s="7" t="s">
        <v>701</v>
      </c>
      <c r="F21" s="7" t="s">
        <v>702</v>
      </c>
      <c r="G21" s="7" t="s">
        <v>703</v>
      </c>
      <c r="H21" s="7" t="s">
        <v>704</v>
      </c>
      <c r="I21" s="7" t="s">
        <v>705</v>
      </c>
      <c r="J21" s="7" t="s">
        <v>706</v>
      </c>
      <c r="K21" s="7" t="s">
        <v>653</v>
      </c>
      <c r="L21" s="7" t="s">
        <v>707</v>
      </c>
      <c r="M21" s="10" t="s">
        <v>90</v>
      </c>
      <c r="N21" s="7" t="s">
        <v>91</v>
      </c>
      <c r="O21" s="7" t="s">
        <v>497</v>
      </c>
      <c r="P21" s="7" t="s">
        <v>524</v>
      </c>
      <c r="Q21" s="7" t="s">
        <v>655</v>
      </c>
      <c r="R21" s="15" t="s">
        <v>500</v>
      </c>
      <c r="S21" s="15" t="s">
        <v>99</v>
      </c>
      <c r="T21" s="15" t="s">
        <v>99</v>
      </c>
      <c r="U21" s="15" t="s">
        <v>99</v>
      </c>
      <c r="V21" s="15" t="s">
        <v>99</v>
      </c>
      <c r="W21" s="15" t="s">
        <v>99</v>
      </c>
    </row>
    <row r="22" ht="76" customHeight="1" spans="1:23" s="7" customFormat="1" x14ac:dyDescent="0.25">
      <c r="A22" s="7">
        <v>21</v>
      </c>
      <c r="B22" s="8" t="s">
        <v>708</v>
      </c>
      <c r="C22" s="7" t="s">
        <v>80</v>
      </c>
      <c r="D22" s="7" t="s">
        <v>709</v>
      </c>
      <c r="E22" s="7" t="s">
        <v>710</v>
      </c>
      <c r="F22" s="7" t="s">
        <v>711</v>
      </c>
      <c r="G22" s="7" t="s">
        <v>712</v>
      </c>
      <c r="H22" s="7" t="s">
        <v>713</v>
      </c>
      <c r="I22" s="7" t="s">
        <v>714</v>
      </c>
      <c r="J22" s="7" t="s">
        <v>715</v>
      </c>
      <c r="K22" s="7" t="s">
        <v>695</v>
      </c>
      <c r="L22" s="7" t="s">
        <v>716</v>
      </c>
      <c r="M22" s="11" t="s">
        <v>127</v>
      </c>
      <c r="N22" s="7" t="s">
        <v>91</v>
      </c>
      <c r="O22" s="7" t="s">
        <v>497</v>
      </c>
      <c r="P22" s="7" t="s">
        <v>685</v>
      </c>
      <c r="Q22" s="7" t="s">
        <v>717</v>
      </c>
      <c r="R22" s="15" t="s">
        <v>500</v>
      </c>
      <c r="S22" s="15" t="s">
        <v>99</v>
      </c>
      <c r="T22" s="15" t="s">
        <v>99</v>
      </c>
      <c r="U22" s="15" t="s">
        <v>99</v>
      </c>
      <c r="V22" s="15" t="s">
        <v>99</v>
      </c>
      <c r="W22" s="15" t="s">
        <v>99</v>
      </c>
    </row>
    <row r="23" ht="76" customHeight="1" spans="1:23" s="7" customFormat="1" x14ac:dyDescent="0.25">
      <c r="A23" s="7">
        <v>22</v>
      </c>
      <c r="B23" s="8" t="s">
        <v>718</v>
      </c>
      <c r="C23" s="7" t="s">
        <v>80</v>
      </c>
      <c r="D23" s="7" t="s">
        <v>719</v>
      </c>
      <c r="E23" s="7" t="s">
        <v>720</v>
      </c>
      <c r="F23" s="7" t="s">
        <v>721</v>
      </c>
      <c r="G23" s="7" t="s">
        <v>722</v>
      </c>
      <c r="H23" s="7" t="s">
        <v>723</v>
      </c>
      <c r="I23" s="7" t="s">
        <v>724</v>
      </c>
      <c r="J23" s="7" t="s">
        <v>725</v>
      </c>
      <c r="K23" s="7" t="s">
        <v>726</v>
      </c>
      <c r="L23" s="7" t="s">
        <v>727</v>
      </c>
      <c r="M23" s="10" t="s">
        <v>90</v>
      </c>
      <c r="N23" s="7" t="s">
        <v>91</v>
      </c>
      <c r="O23" s="7" t="s">
        <v>728</v>
      </c>
      <c r="P23" s="7" t="s">
        <v>498</v>
      </c>
      <c r="Q23" s="7" t="s">
        <v>729</v>
      </c>
      <c r="R23" s="15" t="s">
        <v>500</v>
      </c>
      <c r="S23" s="15" t="s">
        <v>99</v>
      </c>
      <c r="T23" s="15" t="s">
        <v>99</v>
      </c>
      <c r="U23" s="15" t="s">
        <v>99</v>
      </c>
      <c r="V23" s="15" t="s">
        <v>99</v>
      </c>
      <c r="W23" s="15" t="s">
        <v>99</v>
      </c>
    </row>
    <row r="24" ht="76" customHeight="1" spans="1:23" s="7" customFormat="1" x14ac:dyDescent="0.25">
      <c r="A24" s="7">
        <v>23</v>
      </c>
      <c r="B24" s="8" t="s">
        <v>730</v>
      </c>
      <c r="C24" s="7" t="s">
        <v>80</v>
      </c>
      <c r="D24" s="7" t="s">
        <v>719</v>
      </c>
      <c r="E24" s="7" t="s">
        <v>731</v>
      </c>
      <c r="F24" s="7" t="s">
        <v>732</v>
      </c>
      <c r="G24" s="7" t="s">
        <v>733</v>
      </c>
      <c r="H24" s="7" t="s">
        <v>734</v>
      </c>
      <c r="I24" s="7" t="s">
        <v>735</v>
      </c>
      <c r="J24" s="7" t="s">
        <v>736</v>
      </c>
      <c r="K24" s="7" t="s">
        <v>521</v>
      </c>
      <c r="L24" s="7" t="s">
        <v>737</v>
      </c>
      <c r="M24" s="10" t="s">
        <v>90</v>
      </c>
      <c r="N24" s="7" t="s">
        <v>91</v>
      </c>
      <c r="O24" s="7" t="s">
        <v>738</v>
      </c>
      <c r="P24" s="7" t="s">
        <v>498</v>
      </c>
      <c r="Q24" s="7" t="s">
        <v>739</v>
      </c>
      <c r="R24" s="15" t="s">
        <v>500</v>
      </c>
      <c r="S24" s="15" t="s">
        <v>99</v>
      </c>
      <c r="T24" s="15" t="s">
        <v>99</v>
      </c>
      <c r="U24" s="15" t="s">
        <v>99</v>
      </c>
      <c r="V24" s="15" t="s">
        <v>99</v>
      </c>
      <c r="W24" s="15" t="s">
        <v>99</v>
      </c>
    </row>
    <row r="25" ht="76" customHeight="1" spans="1:23" s="7" customFormat="1" x14ac:dyDescent="0.25">
      <c r="A25" s="7">
        <v>24</v>
      </c>
      <c r="B25" s="8" t="s">
        <v>740</v>
      </c>
      <c r="C25" s="7" t="s">
        <v>80</v>
      </c>
      <c r="D25" s="7" t="s">
        <v>741</v>
      </c>
      <c r="E25" s="7" t="s">
        <v>742</v>
      </c>
      <c r="F25" s="7" t="s">
        <v>743</v>
      </c>
      <c r="G25" s="7" t="s">
        <v>744</v>
      </c>
      <c r="H25" s="7" t="s">
        <v>745</v>
      </c>
      <c r="I25" s="7" t="s">
        <v>746</v>
      </c>
      <c r="J25" s="7" t="s">
        <v>747</v>
      </c>
      <c r="K25" s="7" t="s">
        <v>748</v>
      </c>
      <c r="L25" s="7" t="s">
        <v>749</v>
      </c>
      <c r="M25" s="10" t="s">
        <v>90</v>
      </c>
      <c r="N25" s="7" t="s">
        <v>91</v>
      </c>
      <c r="O25" s="7" t="s">
        <v>497</v>
      </c>
      <c r="P25" s="7" t="s">
        <v>498</v>
      </c>
      <c r="Q25" s="7" t="s">
        <v>750</v>
      </c>
      <c r="R25" s="15" t="s">
        <v>500</v>
      </c>
      <c r="S25" s="15" t="s">
        <v>99</v>
      </c>
      <c r="T25" s="15" t="s">
        <v>99</v>
      </c>
      <c r="U25" s="15" t="s">
        <v>99</v>
      </c>
      <c r="V25" s="15" t="s">
        <v>99</v>
      </c>
      <c r="W25" s="15" t="s">
        <v>99</v>
      </c>
    </row>
    <row r="26" ht="76" customHeight="1" spans="1:23" s="7" customFormat="1" x14ac:dyDescent="0.25">
      <c r="A26" s="7">
        <v>25</v>
      </c>
      <c r="B26" s="8" t="s">
        <v>751</v>
      </c>
      <c r="C26" s="7" t="s">
        <v>80</v>
      </c>
      <c r="D26" s="7" t="s">
        <v>752</v>
      </c>
      <c r="E26" s="7" t="s">
        <v>753</v>
      </c>
      <c r="F26" s="7" t="s">
        <v>754</v>
      </c>
      <c r="G26" s="7" t="s">
        <v>755</v>
      </c>
      <c r="H26" s="7" t="s">
        <v>756</v>
      </c>
      <c r="I26" s="7" t="s">
        <v>757</v>
      </c>
      <c r="J26" s="7" t="s">
        <v>758</v>
      </c>
      <c r="K26" s="7" t="s">
        <v>759</v>
      </c>
      <c r="L26" s="7" t="s">
        <v>654</v>
      </c>
      <c r="M26" s="10" t="s">
        <v>90</v>
      </c>
      <c r="N26" s="7" t="s">
        <v>91</v>
      </c>
      <c r="O26" s="7" t="s">
        <v>760</v>
      </c>
      <c r="P26" s="7" t="s">
        <v>524</v>
      </c>
      <c r="Q26" s="7" t="s">
        <v>761</v>
      </c>
      <c r="R26" s="15" t="s">
        <v>500</v>
      </c>
      <c r="S26" s="15" t="s">
        <v>99</v>
      </c>
      <c r="T26" s="15" t="s">
        <v>99</v>
      </c>
      <c r="U26" s="15" t="s">
        <v>99</v>
      </c>
      <c r="V26" s="15" t="s">
        <v>99</v>
      </c>
      <c r="W26" s="15" t="s">
        <v>99</v>
      </c>
    </row>
    <row r="27" ht="76" customHeight="1" spans="1:23" s="7" customFormat="1" x14ac:dyDescent="0.25">
      <c r="A27" s="7">
        <v>26</v>
      </c>
      <c r="B27" s="8" t="s">
        <v>762</v>
      </c>
      <c r="C27" s="7" t="s">
        <v>80</v>
      </c>
      <c r="D27" s="7" t="s">
        <v>763</v>
      </c>
      <c r="E27" s="7" t="s">
        <v>764</v>
      </c>
      <c r="F27" s="7" t="s">
        <v>765</v>
      </c>
      <c r="G27" s="7" t="s">
        <v>766</v>
      </c>
      <c r="H27" s="7" t="s">
        <v>767</v>
      </c>
      <c r="I27" s="7" t="s">
        <v>768</v>
      </c>
      <c r="J27" s="7" t="s">
        <v>769</v>
      </c>
      <c r="K27" s="7" t="s">
        <v>622</v>
      </c>
      <c r="L27" s="7" t="s">
        <v>770</v>
      </c>
      <c r="M27" s="10" t="s">
        <v>90</v>
      </c>
      <c r="N27" s="7" t="s">
        <v>91</v>
      </c>
      <c r="O27" s="7" t="s">
        <v>497</v>
      </c>
      <c r="P27" s="7" t="s">
        <v>524</v>
      </c>
      <c r="Q27" s="7" t="s">
        <v>624</v>
      </c>
      <c r="R27" s="15" t="s">
        <v>500</v>
      </c>
      <c r="S27" s="15" t="s">
        <v>99</v>
      </c>
      <c r="T27" s="15" t="s">
        <v>99</v>
      </c>
      <c r="U27" s="15" t="s">
        <v>99</v>
      </c>
      <c r="V27" s="15" t="s">
        <v>99</v>
      </c>
      <c r="W27" s="15" t="s">
        <v>99</v>
      </c>
    </row>
    <row r="28" ht="76" customHeight="1" spans="1:23" s="7" customFormat="1" x14ac:dyDescent="0.25">
      <c r="A28" s="7">
        <v>27</v>
      </c>
      <c r="B28" s="8" t="s">
        <v>771</v>
      </c>
      <c r="C28" s="7" t="s">
        <v>80</v>
      </c>
      <c r="D28" s="7" t="s">
        <v>772</v>
      </c>
      <c r="E28" s="7" t="s">
        <v>773</v>
      </c>
      <c r="F28" s="7" t="s">
        <v>774</v>
      </c>
      <c r="G28" s="7" t="s">
        <v>775</v>
      </c>
      <c r="H28" s="7" t="s">
        <v>776</v>
      </c>
      <c r="I28" s="7" t="s">
        <v>777</v>
      </c>
      <c r="J28" s="7" t="s">
        <v>778</v>
      </c>
      <c r="K28" s="7" t="s">
        <v>622</v>
      </c>
      <c r="L28" s="7" t="s">
        <v>779</v>
      </c>
      <c r="M28" s="10" t="s">
        <v>90</v>
      </c>
      <c r="N28" s="7" t="s">
        <v>91</v>
      </c>
      <c r="O28" s="7" t="s">
        <v>497</v>
      </c>
      <c r="P28" s="7" t="s">
        <v>524</v>
      </c>
      <c r="Q28" s="7" t="s">
        <v>624</v>
      </c>
      <c r="R28" s="15" t="s">
        <v>500</v>
      </c>
      <c r="S28" s="15" t="s">
        <v>99</v>
      </c>
      <c r="T28" s="15" t="s">
        <v>99</v>
      </c>
      <c r="U28" s="15" t="s">
        <v>99</v>
      </c>
      <c r="V28" s="15" t="s">
        <v>99</v>
      </c>
      <c r="W28" s="15" t="s">
        <v>99</v>
      </c>
    </row>
    <row r="29" ht="76" customHeight="1" spans="1:23" s="7" customFormat="1" x14ac:dyDescent="0.25">
      <c r="A29" s="7">
        <v>28</v>
      </c>
      <c r="B29" s="8" t="s">
        <v>780</v>
      </c>
      <c r="C29" s="7" t="s">
        <v>80</v>
      </c>
      <c r="D29" s="7" t="s">
        <v>781</v>
      </c>
      <c r="E29" s="7" t="s">
        <v>782</v>
      </c>
      <c r="F29" s="7" t="s">
        <v>783</v>
      </c>
      <c r="G29" s="7" t="s">
        <v>784</v>
      </c>
      <c r="H29" s="7" t="s">
        <v>785</v>
      </c>
      <c r="I29" s="7" t="s">
        <v>786</v>
      </c>
      <c r="J29" s="7" t="s">
        <v>787</v>
      </c>
      <c r="K29" s="7" t="s">
        <v>788</v>
      </c>
      <c r="L29" s="7" t="s">
        <v>789</v>
      </c>
      <c r="M29" s="10" t="s">
        <v>90</v>
      </c>
      <c r="N29" s="7" t="s">
        <v>91</v>
      </c>
      <c r="O29" s="7" t="s">
        <v>790</v>
      </c>
      <c r="P29" s="7" t="s">
        <v>791</v>
      </c>
      <c r="Q29" s="7" t="s">
        <v>792</v>
      </c>
      <c r="R29" s="15" t="s">
        <v>500</v>
      </c>
      <c r="S29" s="15" t="s">
        <v>99</v>
      </c>
      <c r="T29" s="15" t="s">
        <v>99</v>
      </c>
      <c r="U29" s="15" t="s">
        <v>99</v>
      </c>
      <c r="V29" s="15" t="s">
        <v>99</v>
      </c>
      <c r="W29" s="15" t="s">
        <v>99</v>
      </c>
    </row>
    <row r="30" ht="76" customHeight="1" spans="1:23" s="7" customFormat="1" x14ac:dyDescent="0.25">
      <c r="A30" s="7">
        <v>29</v>
      </c>
      <c r="B30" s="8" t="s">
        <v>793</v>
      </c>
      <c r="C30" s="7" t="s">
        <v>80</v>
      </c>
      <c r="D30" s="7" t="s">
        <v>794</v>
      </c>
      <c r="E30" s="7" t="s">
        <v>795</v>
      </c>
      <c r="F30" s="7" t="s">
        <v>796</v>
      </c>
      <c r="G30" s="7" t="s">
        <v>797</v>
      </c>
      <c r="H30" s="7" t="s">
        <v>798</v>
      </c>
      <c r="I30" s="7" t="s">
        <v>799</v>
      </c>
      <c r="J30" s="7" t="s">
        <v>800</v>
      </c>
      <c r="K30" s="7" t="s">
        <v>726</v>
      </c>
      <c r="L30" s="7" t="s">
        <v>801</v>
      </c>
      <c r="M30" s="10" t="s">
        <v>90</v>
      </c>
      <c r="N30" s="7" t="s">
        <v>91</v>
      </c>
      <c r="O30" s="7" t="s">
        <v>802</v>
      </c>
      <c r="P30" s="7" t="s">
        <v>498</v>
      </c>
      <c r="Q30" s="7" t="s">
        <v>729</v>
      </c>
      <c r="R30" s="15" t="s">
        <v>500</v>
      </c>
      <c r="S30" s="15" t="s">
        <v>99</v>
      </c>
      <c r="T30" s="15" t="s">
        <v>99</v>
      </c>
      <c r="U30" s="15" t="s">
        <v>99</v>
      </c>
      <c r="V30" s="15" t="s">
        <v>99</v>
      </c>
      <c r="W30" s="15" t="s">
        <v>99</v>
      </c>
    </row>
    <row r="31" ht="76" customHeight="1" spans="1:23" s="7" customFormat="1" x14ac:dyDescent="0.25">
      <c r="A31" s="7">
        <v>30</v>
      </c>
      <c r="B31" s="8" t="s">
        <v>803</v>
      </c>
      <c r="C31" s="7" t="s">
        <v>80</v>
      </c>
      <c r="D31" s="7" t="s">
        <v>804</v>
      </c>
      <c r="E31" s="7" t="s">
        <v>805</v>
      </c>
      <c r="F31" s="7" t="s">
        <v>806</v>
      </c>
      <c r="G31" s="7" t="s">
        <v>807</v>
      </c>
      <c r="H31" s="7" t="s">
        <v>808</v>
      </c>
      <c r="I31" s="7" t="s">
        <v>809</v>
      </c>
      <c r="J31" s="7" t="s">
        <v>810</v>
      </c>
      <c r="K31" s="7" t="s">
        <v>726</v>
      </c>
      <c r="L31" s="7" t="s">
        <v>811</v>
      </c>
      <c r="M31" s="10" t="s">
        <v>90</v>
      </c>
      <c r="N31" s="7" t="s">
        <v>91</v>
      </c>
      <c r="O31" s="7" t="s">
        <v>802</v>
      </c>
      <c r="P31" s="7" t="s">
        <v>498</v>
      </c>
      <c r="Q31" s="7" t="s">
        <v>729</v>
      </c>
      <c r="R31" s="15" t="s">
        <v>500</v>
      </c>
      <c r="S31" s="15" t="s">
        <v>99</v>
      </c>
      <c r="T31" s="15" t="s">
        <v>99</v>
      </c>
      <c r="U31" s="15" t="s">
        <v>99</v>
      </c>
      <c r="V31" s="15" t="s">
        <v>99</v>
      </c>
      <c r="W31" s="15" t="s">
        <v>99</v>
      </c>
    </row>
    <row r="32" ht="76" customHeight="1" spans="1:23" s="7" customFormat="1" x14ac:dyDescent="0.25">
      <c r="A32" s="7">
        <v>31</v>
      </c>
      <c r="B32" s="8" t="s">
        <v>812</v>
      </c>
      <c r="C32" s="7" t="s">
        <v>80</v>
      </c>
      <c r="D32" s="7" t="s">
        <v>813</v>
      </c>
      <c r="E32" s="7" t="s">
        <v>814</v>
      </c>
      <c r="F32" s="7" t="s">
        <v>815</v>
      </c>
      <c r="G32" s="7" t="s">
        <v>816</v>
      </c>
      <c r="H32" s="7" t="s">
        <v>817</v>
      </c>
      <c r="I32" s="7" t="s">
        <v>818</v>
      </c>
      <c r="J32" s="7" t="s">
        <v>819</v>
      </c>
      <c r="K32" s="7" t="s">
        <v>820</v>
      </c>
      <c r="L32" s="7" t="s">
        <v>821</v>
      </c>
      <c r="M32" s="10" t="s">
        <v>90</v>
      </c>
      <c r="N32" s="7" t="s">
        <v>91</v>
      </c>
      <c r="O32" s="7" t="s">
        <v>822</v>
      </c>
      <c r="P32" s="7" t="s">
        <v>823</v>
      </c>
      <c r="Q32" s="7" t="s">
        <v>824</v>
      </c>
      <c r="R32" s="15" t="s">
        <v>500</v>
      </c>
      <c r="S32" s="15" t="s">
        <v>99</v>
      </c>
      <c r="T32" s="15" t="s">
        <v>99</v>
      </c>
      <c r="U32" s="15" t="s">
        <v>99</v>
      </c>
      <c r="V32" s="15" t="s">
        <v>99</v>
      </c>
      <c r="W32" s="15" t="s">
        <v>99</v>
      </c>
    </row>
    <row r="33" ht="76" customHeight="1" spans="1:23" s="7" customFormat="1" x14ac:dyDescent="0.25">
      <c r="A33" s="7">
        <v>32</v>
      </c>
      <c r="B33" s="8" t="s">
        <v>825</v>
      </c>
      <c r="C33" s="7" t="s">
        <v>80</v>
      </c>
      <c r="D33" s="7" t="s">
        <v>826</v>
      </c>
      <c r="E33" s="7" t="s">
        <v>827</v>
      </c>
      <c r="F33" s="7" t="s">
        <v>828</v>
      </c>
      <c r="G33" s="7" t="s">
        <v>829</v>
      </c>
      <c r="H33" s="7" t="s">
        <v>830</v>
      </c>
      <c r="I33" s="7" t="s">
        <v>831</v>
      </c>
      <c r="J33" s="7" t="s">
        <v>832</v>
      </c>
      <c r="K33" s="7" t="s">
        <v>833</v>
      </c>
      <c r="L33" s="7" t="s">
        <v>834</v>
      </c>
      <c r="M33" s="10" t="s">
        <v>90</v>
      </c>
      <c r="N33" s="7" t="s">
        <v>91</v>
      </c>
      <c r="O33" s="7" t="s">
        <v>835</v>
      </c>
      <c r="P33" s="7" t="s">
        <v>836</v>
      </c>
      <c r="Q33" s="7" t="s">
        <v>837</v>
      </c>
      <c r="R33" s="15" t="s">
        <v>500</v>
      </c>
      <c r="S33" s="15" t="s">
        <v>99</v>
      </c>
      <c r="T33" s="15" t="s">
        <v>99</v>
      </c>
      <c r="U33" s="15" t="s">
        <v>99</v>
      </c>
      <c r="V33" s="15" t="s">
        <v>99</v>
      </c>
      <c r="W33" s="15" t="s">
        <v>99</v>
      </c>
    </row>
    <row r="34" ht="76" customHeight="1" spans="1:23" s="7" customFormat="1" x14ac:dyDescent="0.25">
      <c r="A34" s="7">
        <v>33</v>
      </c>
      <c r="B34" s="8" t="s">
        <v>838</v>
      </c>
      <c r="C34" s="7" t="s">
        <v>80</v>
      </c>
      <c r="D34" s="7" t="s">
        <v>839</v>
      </c>
      <c r="E34" s="7" t="s">
        <v>840</v>
      </c>
      <c r="F34" s="7" t="s">
        <v>841</v>
      </c>
      <c r="G34" s="7" t="s">
        <v>842</v>
      </c>
      <c r="H34" s="7" t="s">
        <v>843</v>
      </c>
      <c r="I34" s="7" t="s">
        <v>844</v>
      </c>
      <c r="J34" s="7" t="s">
        <v>845</v>
      </c>
      <c r="K34" s="7" t="s">
        <v>846</v>
      </c>
      <c r="L34" s="7" t="s">
        <v>847</v>
      </c>
      <c r="M34" s="10" t="s">
        <v>90</v>
      </c>
      <c r="N34" s="7" t="s">
        <v>91</v>
      </c>
      <c r="O34" s="7" t="s">
        <v>848</v>
      </c>
      <c r="P34" s="7" t="s">
        <v>849</v>
      </c>
      <c r="Q34" s="7" t="s">
        <v>850</v>
      </c>
      <c r="R34" s="15" t="s">
        <v>500</v>
      </c>
      <c r="S34" s="15" t="s">
        <v>99</v>
      </c>
      <c r="T34" s="15" t="s">
        <v>99</v>
      </c>
      <c r="U34" s="15" t="s">
        <v>99</v>
      </c>
      <c r="V34" s="15" t="s">
        <v>99</v>
      </c>
      <c r="W34" s="15" t="s">
        <v>99</v>
      </c>
    </row>
    <row r="35" ht="76" customHeight="1" spans="1:23" s="7" customFormat="1" x14ac:dyDescent="0.25">
      <c r="A35" s="7">
        <v>34</v>
      </c>
      <c r="B35" s="8" t="s">
        <v>851</v>
      </c>
      <c r="C35" s="7" t="s">
        <v>80</v>
      </c>
      <c r="D35" s="7" t="s">
        <v>852</v>
      </c>
      <c r="E35" s="7" t="s">
        <v>853</v>
      </c>
      <c r="F35" s="7" t="s">
        <v>854</v>
      </c>
      <c r="G35" s="7" t="s">
        <v>855</v>
      </c>
      <c r="H35" s="7" t="s">
        <v>856</v>
      </c>
      <c r="I35" s="7" t="s">
        <v>857</v>
      </c>
      <c r="J35" s="7" t="s">
        <v>858</v>
      </c>
      <c r="K35" s="7" t="s">
        <v>859</v>
      </c>
      <c r="L35" s="7" t="s">
        <v>860</v>
      </c>
      <c r="M35" s="10" t="s">
        <v>90</v>
      </c>
      <c r="N35" s="7" t="s">
        <v>91</v>
      </c>
      <c r="O35" s="7" t="s">
        <v>861</v>
      </c>
      <c r="P35" s="7" t="s">
        <v>862</v>
      </c>
      <c r="Q35" s="7" t="s">
        <v>863</v>
      </c>
      <c r="R35" s="15" t="s">
        <v>500</v>
      </c>
      <c r="S35" s="15" t="s">
        <v>99</v>
      </c>
      <c r="T35" s="15" t="s">
        <v>99</v>
      </c>
      <c r="U35" s="15" t="s">
        <v>99</v>
      </c>
      <c r="V35" s="15" t="s">
        <v>99</v>
      </c>
      <c r="W35" s="15" t="s">
        <v>99</v>
      </c>
    </row>
  </sheetData>
  <dataValidations count="2">
    <dataValidation type="list" sqref="R10:R35">
      <formula1>"Not Run,Pass,Fail,Blocked,Not Applicable"</formula1>
    </dataValidation>
    <dataValidation type="list" sqref="R2:R35">
      <formula1>"Not Run,Pass,Fail,Blocked,Not Applicable"</formula1>
    </dataValidation>
  </dataValidations>
  <pageMargins left="0.25" right="0.25" top="0.5" bottom="0.5" header="0.2" footer="0.2"/>
  <pageSetup paperSize="9" orientation="landscape" fitToWidth="1"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pageSetUpPr fitToPage="1"/>
  </sheetPr>
  <dimension ref="A1:D57"/>
  <sheetViews>
    <sheetView workbookViewId="0" showGridLines="0">
      <pane ySplit="4" topLeftCell="A5" activePane="bottomLeft" state="frozen"/>
      <selection pane="bottomLeft"/>
    </sheetView>
  </sheetViews>
  <sheetFormatPr defaultRowHeight="15" outlineLevelRow="0" outlineLevelCol="0" x14ac:dyDescent="55"/>
  <cols>
    <col min="1" max="1" width="24" customWidth="1"/>
    <col min="2" max="2" width="38" customWidth="1"/>
    <col min="3" max="3" width="14" customWidth="1"/>
    <col min="4" max="4" width="72" customWidth="1"/>
  </cols>
  <sheetData>
    <row r="1" ht="32" customHeight="1" spans="1:4" x14ac:dyDescent="0.25">
      <c r="A1" s="16" t="s">
        <v>864</v>
      </c>
      <c r="B1" s="16"/>
      <c r="C1" s="16"/>
      <c r="D1" s="16"/>
    </row>
    <row r="2" spans="1:4" x14ac:dyDescent="0.25">
      <c r="A2" s="17" t="s">
        <v>865</v>
      </c>
      <c r="B2" s="17"/>
      <c r="C2" s="17"/>
      <c r="D2" s="17"/>
    </row>
    <row r="3" spans="1:4" x14ac:dyDescent="0.25"/>
    <row r="4" ht="30" customHeight="1" spans="1:4" s="3" customFormat="1" x14ac:dyDescent="0.25">
      <c r="A4" s="3" t="s">
        <v>866</v>
      </c>
      <c r="B4" s="3" t="s">
        <v>867</v>
      </c>
      <c r="C4" s="3" t="s">
        <v>868</v>
      </c>
      <c r="D4" s="3" t="s">
        <v>869</v>
      </c>
    </row>
    <row r="5" ht="27" customHeight="1" spans="1:4" s="18" customFormat="1" x14ac:dyDescent="0.25">
      <c r="A5" s="19" t="s">
        <v>870</v>
      </c>
      <c r="B5" s="20" t="s">
        <v>871</v>
      </c>
      <c r="C5" s="21">
        <f>ROWS(ToolsAutomatedCases[Test Case ID])</f>
        <v>49</v>
      </c>
      <c r="D5" s="20" t="s">
        <v>872</v>
      </c>
    </row>
    <row r="6" ht="27" customHeight="1" spans="1:4" s="18" customFormat="1" x14ac:dyDescent="0.25">
      <c r="A6" s="19" t="s">
        <v>870</v>
      </c>
      <c r="B6" s="20" t="s">
        <v>873</v>
      </c>
      <c r="C6" s="21">
        <f>ROWS(ToolsManualUiUxCases[Test Case ID])</f>
        <v>34</v>
      </c>
      <c r="D6" s="20" t="s">
        <v>874</v>
      </c>
    </row>
    <row r="7" ht="27" customHeight="1" spans="1:4" s="18" customFormat="1" x14ac:dyDescent="0.25">
      <c r="A7" s="19" t="s">
        <v>870</v>
      </c>
      <c r="B7" s="20" t="s">
        <v>875</v>
      </c>
      <c r="C7" s="21">
        <f>ROWS(ToolsAutomatedCases[Test Case ID])+ROWS(ToolsManualUiUxCases[Test Case ID])</f>
        <v>83</v>
      </c>
      <c r="D7" s="20" t="s">
        <v>876</v>
      </c>
    </row>
    <row r="8" ht="27" customHeight="1" spans="1:4" s="18" customFormat="1" x14ac:dyDescent="0.25">
      <c r="A8" s="19" t="s">
        <v>877</v>
      </c>
      <c r="B8" s="20" t="s">
        <v>878</v>
      </c>
      <c r="C8" s="21">
        <f>COUNTIF(ToolsAutomatedCases[Write Operation],"YES")</f>
        <v>21</v>
      </c>
      <c r="D8" s="20" t="s">
        <v>879</v>
      </c>
    </row>
    <row r="9" ht="27" customHeight="1" spans="1:4" s="18" customFormat="1" x14ac:dyDescent="0.25">
      <c r="A9" s="19" t="s">
        <v>20</v>
      </c>
      <c r="B9" s="20" t="s">
        <v>500</v>
      </c>
      <c r="C9" s="21">
        <f>COUNTIF(ToolsManualUiUxCases[Status],"Not Run")</f>
        <v>34</v>
      </c>
      <c r="D9" s="20" t="s">
        <v>880</v>
      </c>
    </row>
    <row r="10" ht="27" customHeight="1" spans="1:4" s="18" customFormat="1" x14ac:dyDescent="0.25">
      <c r="A10" s="19" t="s">
        <v>20</v>
      </c>
      <c r="B10" s="20" t="s">
        <v>881</v>
      </c>
      <c r="C10" s="21">
        <f>COUNTIF(ToolsManualUiUxCases[Status],"Pass")</f>
        <v>0</v>
      </c>
      <c r="D10" s="20" t="s">
        <v>882</v>
      </c>
    </row>
    <row r="11" ht="27" customHeight="1" spans="1:4" s="18" customFormat="1" x14ac:dyDescent="0.25">
      <c r="A11" s="19" t="s">
        <v>20</v>
      </c>
      <c r="B11" s="20" t="s">
        <v>883</v>
      </c>
      <c r="C11" s="21">
        <f>COUNTIF(ToolsManualUiUxCases[Status],"Fail")</f>
        <v>0</v>
      </c>
      <c r="D11" s="20" t="s">
        <v>884</v>
      </c>
    </row>
    <row r="12" ht="27" customHeight="1" spans="1:4" s="18" customFormat="1" x14ac:dyDescent="0.25">
      <c r="A12" s="19" t="s">
        <v>71</v>
      </c>
      <c r="B12" s="20" t="s">
        <v>90</v>
      </c>
      <c r="C12" s="21">
        <f>COUNTIF(ToolsAutomatedCases[Priority],"P1")+COUNTIF(ToolsManualUiUxCases[Priority],"P1")</f>
        <v>69</v>
      </c>
      <c r="D12" s="20" t="s">
        <v>885</v>
      </c>
    </row>
    <row r="13" ht="27" customHeight="1" spans="1:4" s="18" customFormat="1" x14ac:dyDescent="0.25">
      <c r="A13" s="19" t="s">
        <v>71</v>
      </c>
      <c r="B13" s="20" t="s">
        <v>127</v>
      </c>
      <c r="C13" s="21">
        <f>COUNTIF(ToolsAutomatedCases[Priority],"P2")+COUNTIF(ToolsManualUiUxCases[Priority],"P2")</f>
        <v>14</v>
      </c>
      <c r="D13" s="20" t="s">
        <v>886</v>
      </c>
    </row>
    <row r="14" ht="27" customHeight="1" spans="1:4" s="18" customFormat="1" x14ac:dyDescent="0.25">
      <c r="A14" s="19" t="s">
        <v>72</v>
      </c>
      <c r="B14" s="20" t="s">
        <v>192</v>
      </c>
      <c r="C14" s="21">
        <f>COUNTIF(ToolsAutomatedCases[Severity],"Critical")+COUNTIF(ToolsManualUiUxCases[Severity],"Critical")</f>
        <v>23</v>
      </c>
      <c r="D14" s="20" t="s">
        <v>887</v>
      </c>
    </row>
    <row r="15" ht="27" customHeight="1" spans="1:4" s="18" customFormat="1" x14ac:dyDescent="0.25">
      <c r="A15" s="19" t="s">
        <v>72</v>
      </c>
      <c r="B15" s="20" t="s">
        <v>91</v>
      </c>
      <c r="C15" s="21">
        <f>COUNTIF(ToolsAutomatedCases[Severity],"Major")+COUNTIF(ToolsManualUiUxCases[Severity],"Major")</f>
        <v>50</v>
      </c>
      <c r="D15" s="20" t="s">
        <v>888</v>
      </c>
    </row>
    <row r="16" ht="27" customHeight="1" spans="1:4" s="18" customFormat="1" x14ac:dyDescent="0.25">
      <c r="A16" s="19" t="s">
        <v>72</v>
      </c>
      <c r="B16" s="20" t="s">
        <v>128</v>
      </c>
      <c r="C16" s="21">
        <f>COUNTIF(ToolsAutomatedCases[Severity],"Minor")+COUNTIF(ToolsManualUiUxCases[Severity],"Minor")</f>
        <v>10</v>
      </c>
      <c r="D16" s="20" t="s">
        <v>889</v>
      </c>
    </row>
    <row r="17" ht="27" customHeight="1" spans="1:4" s="18" customFormat="1" x14ac:dyDescent="0.25">
      <c r="A17" s="19" t="s">
        <v>890</v>
      </c>
      <c r="B17" s="20" t="s">
        <v>88</v>
      </c>
      <c r="C17" s="21">
        <f>COUNTIF(ToolsAutomatedCases[Execution Tags],"*@functional*")+COUNTIF(ToolsManualUiUxCases[Execution Tags],"*@functional*")</f>
        <v>49</v>
      </c>
      <c r="D17" s="20" t="s">
        <v>891</v>
      </c>
    </row>
    <row r="18" ht="27" customHeight="1" spans="1:4" s="18" customFormat="1" x14ac:dyDescent="0.25">
      <c r="A18" s="19" t="s">
        <v>890</v>
      </c>
      <c r="B18" s="20" t="s">
        <v>892</v>
      </c>
      <c r="C18" s="21">
        <f>COUNTIF(ToolsAutomatedCases[Execution Tags],"*@non-functional*")+COUNTIF(ToolsManualUiUxCases[Execution Tags],"*@non-functional*")</f>
        <v>46</v>
      </c>
      <c r="D18" s="20" t="s">
        <v>893</v>
      </c>
    </row>
    <row r="19" ht="27" customHeight="1" spans="1:4" s="18" customFormat="1" x14ac:dyDescent="0.25">
      <c r="A19" s="19" t="s">
        <v>890</v>
      </c>
      <c r="B19" s="20" t="s">
        <v>894</v>
      </c>
      <c r="C19" s="21">
        <f>COUNTIF(ToolsAutomatedCases[Execution Tags],"*@smoke*")+COUNTIF(ToolsManualUiUxCases[Execution Tags],"*@smoke*")</f>
        <v>1</v>
      </c>
      <c r="D19" s="20" t="s">
        <v>895</v>
      </c>
    </row>
    <row r="20" ht="27" customHeight="1" spans="1:4" s="18" customFormat="1" x14ac:dyDescent="0.25">
      <c r="A20" s="19" t="s">
        <v>890</v>
      </c>
      <c r="B20" s="20" t="s">
        <v>896</v>
      </c>
      <c r="C20" s="21">
        <f>COUNTIF(ToolsAutomatedCases[Execution Tags],"*@prod-smoke*")+COUNTIF(ToolsManualUiUxCases[Execution Tags],"*@prod-smoke*")</f>
        <v>1</v>
      </c>
      <c r="D20" s="20" t="s">
        <v>897</v>
      </c>
    </row>
    <row r="21" ht="27" customHeight="1" spans="1:4" s="18" customFormat="1" x14ac:dyDescent="0.25">
      <c r="A21" s="19" t="s">
        <v>890</v>
      </c>
      <c r="B21" s="20" t="s">
        <v>898</v>
      </c>
      <c r="C21" s="21">
        <f>COUNTIF(ToolsAutomatedCases[Execution Tags],"*@sanity*")+COUNTIF(ToolsManualUiUxCases[Execution Tags],"*@sanity*")</f>
        <v>4</v>
      </c>
      <c r="D21" s="20" t="s">
        <v>899</v>
      </c>
    </row>
    <row r="22" ht="27" customHeight="1" spans="1:4" s="18" customFormat="1" x14ac:dyDescent="0.25">
      <c r="A22" s="19" t="s">
        <v>890</v>
      </c>
      <c r="B22" s="20" t="s">
        <v>900</v>
      </c>
      <c r="C22" s="21">
        <f>COUNTIF(ToolsAutomatedCases[Execution Tags],"*@regression*")+COUNTIF(ToolsManualUiUxCases[Execution Tags],"*@regression*")</f>
        <v>83</v>
      </c>
      <c r="D22" s="20" t="s">
        <v>901</v>
      </c>
    </row>
    <row r="23" ht="27" customHeight="1" spans="1:4" s="18" customFormat="1" x14ac:dyDescent="0.25">
      <c r="A23" s="19" t="s">
        <v>890</v>
      </c>
      <c r="B23" s="20" t="s">
        <v>902</v>
      </c>
      <c r="C23" s="21">
        <f>COUNTIF(ToolsAutomatedCases[Execution Tags],"*@e2e*")+COUNTIF(ToolsManualUiUxCases[Execution Tags],"*@e2e*")</f>
        <v>5</v>
      </c>
      <c r="D23" s="20" t="s">
        <v>903</v>
      </c>
    </row>
    <row r="24" ht="27" customHeight="1" spans="1:4" s="18" customFormat="1" x14ac:dyDescent="0.25">
      <c r="A24" s="19" t="s">
        <v>890</v>
      </c>
      <c r="B24" s="20" t="s">
        <v>904</v>
      </c>
      <c r="C24" s="21">
        <f>COUNTIF(ToolsAutomatedCases[Execution Tags],"*@integration*")+COUNTIF(ToolsManualUiUxCases[Execution Tags],"*@integration*")</f>
        <v>5</v>
      </c>
      <c r="D24" s="20" t="s">
        <v>905</v>
      </c>
    </row>
    <row r="25" ht="27" customHeight="1" spans="1:4" s="18" customFormat="1" x14ac:dyDescent="0.25">
      <c r="A25" s="19" t="s">
        <v>890</v>
      </c>
      <c r="B25" s="20" t="s">
        <v>139</v>
      </c>
      <c r="C25" s="21">
        <f>COUNTIF(ToolsAutomatedCases[Execution Tags],"*@security*")+COUNTIF(ToolsManualUiUxCases[Execution Tags],"*@security*")</f>
        <v>12</v>
      </c>
      <c r="D25" s="20" t="s">
        <v>906</v>
      </c>
    </row>
    <row r="26" ht="27" customHeight="1" spans="1:4" s="18" customFormat="1" x14ac:dyDescent="0.25">
      <c r="A26" s="19" t="s">
        <v>890</v>
      </c>
      <c r="B26" s="20" t="s">
        <v>622</v>
      </c>
      <c r="C26" s="21">
        <f>COUNTIF(ToolsAutomatedCases[Execution Tags],"*@a11y*")+COUNTIF(ToolsManualUiUxCases[Execution Tags],"*@a11y*")</f>
        <v>17</v>
      </c>
      <c r="D26" s="20" t="s">
        <v>907</v>
      </c>
    </row>
    <row r="27" ht="27" customHeight="1" spans="1:4" s="18" customFormat="1" x14ac:dyDescent="0.25">
      <c r="A27" s="19" t="s">
        <v>890</v>
      </c>
      <c r="B27" s="20" t="s">
        <v>908</v>
      </c>
      <c r="C27" s="21">
        <f>COUNTIF(ToolsAutomatedCases[Execution Tags],"*@api*")+COUNTIF(ToolsManualUiUxCases[Execution Tags],"*@api*")</f>
        <v>26</v>
      </c>
      <c r="D27" s="20" t="s">
        <v>909</v>
      </c>
    </row>
    <row r="28" ht="27" customHeight="1" spans="1:4" s="18" customFormat="1" x14ac:dyDescent="0.25">
      <c r="A28" s="19" t="s">
        <v>890</v>
      </c>
      <c r="B28" s="20" t="s">
        <v>910</v>
      </c>
      <c r="C28" s="21">
        <f>COUNTIF(ToolsAutomatedCases[Execution Tags],"*@responsive*")+COUNTIF(ToolsManualUiUxCases[Execution Tags],"*@responsive*")</f>
        <v>2</v>
      </c>
      <c r="D28" s="20" t="s">
        <v>911</v>
      </c>
    </row>
    <row r="29" ht="27" customHeight="1" spans="1:4" s="18" customFormat="1" x14ac:dyDescent="0.25">
      <c r="A29" s="19" t="s">
        <v>890</v>
      </c>
      <c r="B29" s="20" t="s">
        <v>912</v>
      </c>
      <c r="C29" s="21">
        <f>COUNTIF(ToolsAutomatedCases[Execution Tags],"*@visual-regression*")+COUNTIF(ToolsManualUiUxCases[Execution Tags],"*@visual-regression*")</f>
        <v>1</v>
      </c>
      <c r="D29" s="20" t="s">
        <v>913</v>
      </c>
    </row>
    <row r="30" ht="27" customHeight="1" spans="1:4" s="18" customFormat="1" x14ac:dyDescent="0.25">
      <c r="A30" s="19" t="s">
        <v>890</v>
      </c>
      <c r="B30" s="20" t="s">
        <v>820</v>
      </c>
      <c r="C30" s="21">
        <f>COUNTIF(ToolsAutomatedCases[Execution Tags],"*@performance*")+COUNTIF(ToolsManualUiUxCases[Execution Tags],"*@performance*")</f>
        <v>1</v>
      </c>
      <c r="D30" s="20" t="s">
        <v>914</v>
      </c>
    </row>
    <row r="31" ht="27" customHeight="1" spans="1:4" s="18" customFormat="1" x14ac:dyDescent="0.25">
      <c r="A31" s="19" t="s">
        <v>890</v>
      </c>
      <c r="B31" s="20" t="s">
        <v>846</v>
      </c>
      <c r="C31" s="21">
        <f>COUNTIF(ToolsAutomatedCases[Execution Tags],"*@localization*")+COUNTIF(ToolsManualUiUxCases[Execution Tags],"*@localization*")</f>
        <v>1</v>
      </c>
      <c r="D31" s="20" t="s">
        <v>915</v>
      </c>
    </row>
    <row r="32" ht="27" customHeight="1" spans="1:4" s="18" customFormat="1" x14ac:dyDescent="0.25">
      <c r="A32" s="19" t="s">
        <v>890</v>
      </c>
      <c r="B32" s="20" t="s">
        <v>916</v>
      </c>
      <c r="C32" s="21">
        <f>COUNTIF(ToolsAutomatedCases[Execution Tags],"*@exploratory*")+COUNTIF(ToolsManualUiUxCases[Execution Tags],"*@exploratory*")</f>
        <v>1</v>
      </c>
      <c r="D32" s="20" t="s">
        <v>917</v>
      </c>
    </row>
    <row r="33" ht="27" customHeight="1" spans="1:4" s="18" customFormat="1" x14ac:dyDescent="0.25">
      <c r="A33" s="19" t="s">
        <v>890</v>
      </c>
      <c r="B33" s="20" t="s">
        <v>918</v>
      </c>
      <c r="C33" s="21">
        <f>COUNTIF(ToolsAutomatedCases[Execution Tags],"*@uat*")+COUNTIF(ToolsManualUiUxCases[Execution Tags],"*@uat*")</f>
        <v>5</v>
      </c>
      <c r="D33" s="20" t="s">
        <v>919</v>
      </c>
    </row>
    <row r="34" ht="27" customHeight="1" spans="1:4" s="18" customFormat="1" x14ac:dyDescent="0.25">
      <c r="A34" s="19" t="s">
        <v>890</v>
      </c>
      <c r="B34" s="20" t="s">
        <v>38</v>
      </c>
      <c r="C34" s="21">
        <f>COUNTIF(ToolsAutomatedCases[Execution Tags],"*@retest*")+COUNTIF(ToolsManualUiUxCases[Execution Tags],"*@retest*")</f>
        <v>0</v>
      </c>
      <c r="D34" s="20" t="s">
        <v>920</v>
      </c>
    </row>
    <row r="35" ht="27" customHeight="1" spans="1:4" s="18" customFormat="1" x14ac:dyDescent="0.25">
      <c r="A35" s="19" t="s">
        <v>921</v>
      </c>
      <c r="B35" s="20" t="s">
        <v>759</v>
      </c>
      <c r="C35" s="21">
        <f>COUNTIF(ToolsManualUiUxCases[UX Category],"Access usability")</f>
        <v>1</v>
      </c>
      <c r="D35" s="20" t="s">
        <v>922</v>
      </c>
    </row>
    <row r="36" ht="27" customHeight="1" spans="1:4" s="18" customFormat="1" x14ac:dyDescent="0.25">
      <c r="A36" s="19" t="s">
        <v>921</v>
      </c>
      <c r="B36" s="20" t="s">
        <v>622</v>
      </c>
      <c r="C36" s="21">
        <f>COUNTIF(ToolsManualUiUxCases[UX Category],"Accessibility")</f>
        <v>4</v>
      </c>
      <c r="D36" s="20" t="s">
        <v>923</v>
      </c>
    </row>
    <row r="37" ht="27" customHeight="1" spans="1:4" s="18" customFormat="1" x14ac:dyDescent="0.25">
      <c r="A37" s="19" t="s">
        <v>921</v>
      </c>
      <c r="B37" s="20" t="s">
        <v>589</v>
      </c>
      <c r="C37" s="21">
        <f>COUNTIF(ToolsManualUiUxCases[UX Category],"Content resilience")</f>
        <v>1</v>
      </c>
      <c r="D37" s="20" t="s">
        <v>924</v>
      </c>
    </row>
    <row r="38" ht="27" customHeight="1" spans="1:4" s="18" customFormat="1" x14ac:dyDescent="0.25">
      <c r="A38" s="19" t="s">
        <v>921</v>
      </c>
      <c r="B38" s="20" t="s">
        <v>642</v>
      </c>
      <c r="C38" s="21">
        <f>COUNTIF(ToolsManualUiUxCases[UX Category],"Data-loss prevention")</f>
        <v>1</v>
      </c>
      <c r="D38" s="20" t="s">
        <v>925</v>
      </c>
    </row>
    <row r="39" ht="27" customHeight="1" spans="1:4" s="18" customFormat="1" x14ac:dyDescent="0.25">
      <c r="A39" s="19" t="s">
        <v>921</v>
      </c>
      <c r="B39" s="20" t="s">
        <v>695</v>
      </c>
      <c r="C39" s="21">
        <f>COUNTIF(ToolsManualUiUxCases[UX Category],"Editor usability")</f>
        <v>2</v>
      </c>
      <c r="D39" s="20" t="s">
        <v>926</v>
      </c>
    </row>
    <row r="40" ht="27" customHeight="1" spans="1:4" s="18" customFormat="1" x14ac:dyDescent="0.25">
      <c r="A40" s="19" t="s">
        <v>921</v>
      </c>
      <c r="B40" s="20" t="s">
        <v>534</v>
      </c>
      <c r="C40" s="21">
        <f>COUNTIF(ToolsManualUiUxCases[UX Category],"Empty-state UX")</f>
        <v>1</v>
      </c>
      <c r="D40" s="20" t="s">
        <v>927</v>
      </c>
    </row>
    <row r="41" ht="27" customHeight="1" spans="1:4" s="18" customFormat="1" x14ac:dyDescent="0.25">
      <c r="A41" s="19" t="s">
        <v>921</v>
      </c>
      <c r="B41" s="20" t="s">
        <v>859</v>
      </c>
      <c r="C41" s="21">
        <f>COUNTIF(ToolsManualUiUxCases[UX Category],"Exploratory UAT")</f>
        <v>1</v>
      </c>
      <c r="D41" s="20" t="s">
        <v>928</v>
      </c>
    </row>
    <row r="42" ht="27" customHeight="1" spans="1:4" s="18" customFormat="1" x14ac:dyDescent="0.25">
      <c r="A42" s="19" t="s">
        <v>921</v>
      </c>
      <c r="B42" s="20" t="s">
        <v>509</v>
      </c>
      <c r="C42" s="21">
        <f>COUNTIF(ToolsManualUiUxCases[UX Category],"Feedback")</f>
        <v>1</v>
      </c>
      <c r="D42" s="20" t="s">
        <v>929</v>
      </c>
    </row>
    <row r="43" ht="27" customHeight="1" spans="1:4" s="18" customFormat="1" x14ac:dyDescent="0.25">
      <c r="A43" s="19" t="s">
        <v>921</v>
      </c>
      <c r="B43" s="20" t="s">
        <v>567</v>
      </c>
      <c r="C43" s="21">
        <f>COUNTIF(ToolsManualUiUxCases[UX Category],"Filter UX")</f>
        <v>1</v>
      </c>
      <c r="D43" s="20" t="s">
        <v>930</v>
      </c>
    </row>
    <row r="44" ht="27" customHeight="1" spans="1:4" s="18" customFormat="1" x14ac:dyDescent="0.25">
      <c r="A44" s="19" t="s">
        <v>921</v>
      </c>
      <c r="B44" s="20" t="s">
        <v>748</v>
      </c>
      <c r="C44" s="21">
        <f>COUNTIF(ToolsManualUiUxCases[UX Category],"Guidance and usability")</f>
        <v>1</v>
      </c>
      <c r="D44" s="20" t="s">
        <v>931</v>
      </c>
    </row>
    <row r="45" ht="27" customHeight="1" spans="1:4" s="18" customFormat="1" x14ac:dyDescent="0.25">
      <c r="A45" s="19" t="s">
        <v>921</v>
      </c>
      <c r="B45" s="20" t="s">
        <v>846</v>
      </c>
      <c r="C45" s="21">
        <f>COUNTIF(ToolsManualUiUxCases[UX Category],"Localization")</f>
        <v>1</v>
      </c>
      <c r="D45" s="20" t="s">
        <v>932</v>
      </c>
    </row>
    <row r="46" ht="27" customHeight="1" spans="1:4" s="18" customFormat="1" x14ac:dyDescent="0.25">
      <c r="A46" s="19" t="s">
        <v>921</v>
      </c>
      <c r="B46" s="20" t="s">
        <v>820</v>
      </c>
      <c r="C46" s="21">
        <f>COUNTIF(ToolsManualUiUxCases[UX Category],"Performance")</f>
        <v>1</v>
      </c>
      <c r="D46" s="20" t="s">
        <v>933</v>
      </c>
    </row>
    <row r="47" ht="27" customHeight="1" spans="1:4" s="18" customFormat="1" x14ac:dyDescent="0.25">
      <c r="A47" s="19" t="s">
        <v>921</v>
      </c>
      <c r="B47" s="20" t="s">
        <v>521</v>
      </c>
      <c r="C47" s="21">
        <f>COUNTIF(ToolsManualUiUxCases[UX Category],"Resilience")</f>
        <v>2</v>
      </c>
      <c r="D47" s="20" t="s">
        <v>934</v>
      </c>
    </row>
    <row r="48" ht="27" customHeight="1" spans="1:4" s="18" customFormat="1" x14ac:dyDescent="0.25">
      <c r="A48" s="19" t="s">
        <v>921</v>
      </c>
      <c r="B48" s="20" t="s">
        <v>788</v>
      </c>
      <c r="C48" s="21">
        <f>COUNTIF(ToolsManualUiUxCases[UX Category],"Responsive accessibility")</f>
        <v>1</v>
      </c>
      <c r="D48" s="20" t="s">
        <v>935</v>
      </c>
    </row>
    <row r="49" ht="27" customHeight="1" spans="1:4" s="18" customFormat="1" x14ac:dyDescent="0.25">
      <c r="A49" s="19" t="s">
        <v>921</v>
      </c>
      <c r="B49" s="20" t="s">
        <v>546</v>
      </c>
      <c r="C49" s="21">
        <f>COUNTIF(ToolsManualUiUxCases[UX Category],"Search UX")</f>
        <v>1</v>
      </c>
      <c r="D49" s="20" t="s">
        <v>936</v>
      </c>
    </row>
    <row r="50" ht="27" customHeight="1" spans="1:4" s="18" customFormat="1" x14ac:dyDescent="0.25">
      <c r="A50" s="19" t="s">
        <v>921</v>
      </c>
      <c r="B50" s="20" t="s">
        <v>726</v>
      </c>
      <c r="C50" s="21">
        <f>COUNTIF(ToolsManualUiUxCases[UX Category],"Transaction feedback")</f>
        <v>3</v>
      </c>
      <c r="D50" s="20" t="s">
        <v>937</v>
      </c>
    </row>
    <row r="51" ht="27" customHeight="1" spans="1:4" s="18" customFormat="1" x14ac:dyDescent="0.25">
      <c r="A51" s="19" t="s">
        <v>921</v>
      </c>
      <c r="B51" s="20" t="s">
        <v>495</v>
      </c>
      <c r="C51" s="21">
        <f>COUNTIF(ToolsManualUiUxCases[UX Category],"Usability")</f>
        <v>2</v>
      </c>
      <c r="D51" s="20" t="s">
        <v>938</v>
      </c>
    </row>
    <row r="52" ht="27" customHeight="1" spans="1:4" s="18" customFormat="1" x14ac:dyDescent="0.25">
      <c r="A52" s="19" t="s">
        <v>921</v>
      </c>
      <c r="B52" s="20" t="s">
        <v>600</v>
      </c>
      <c r="C52" s="21">
        <f>COUNTIF(ToolsManualUiUxCases[UX Category],"Usability and accessibility")</f>
        <v>1</v>
      </c>
      <c r="D52" s="20" t="s">
        <v>939</v>
      </c>
    </row>
    <row r="53" ht="27" customHeight="1" spans="1:4" s="18" customFormat="1" x14ac:dyDescent="0.25">
      <c r="A53" s="19" t="s">
        <v>921</v>
      </c>
      <c r="B53" s="20" t="s">
        <v>653</v>
      </c>
      <c r="C53" s="21">
        <f>COUNTIF(ToolsManualUiUxCases[UX Category],"Validation and accessibility")</f>
        <v>3</v>
      </c>
      <c r="D53" s="20" t="s">
        <v>940</v>
      </c>
    </row>
    <row r="54" ht="27" customHeight="1" spans="1:4" s="18" customFormat="1" x14ac:dyDescent="0.25">
      <c r="A54" s="19" t="s">
        <v>921</v>
      </c>
      <c r="B54" s="20" t="s">
        <v>664</v>
      </c>
      <c r="C54" s="21">
        <f>COUNTIF(ToolsManualUiUxCases[UX Category],"Validation UX")</f>
        <v>2</v>
      </c>
      <c r="D54" s="20" t="s">
        <v>941</v>
      </c>
    </row>
    <row r="55" ht="27" customHeight="1" spans="1:4" s="18" customFormat="1" x14ac:dyDescent="0.25">
      <c r="A55" s="19" t="s">
        <v>921</v>
      </c>
      <c r="B55" s="20" t="s">
        <v>578</v>
      </c>
      <c r="C55" s="21">
        <f>COUNTIF(ToolsManualUiUxCases[UX Category],"Visual consistency")</f>
        <v>1</v>
      </c>
      <c r="D55" s="20" t="s">
        <v>942</v>
      </c>
    </row>
    <row r="56" ht="27" customHeight="1" spans="1:4" s="18" customFormat="1" x14ac:dyDescent="0.25">
      <c r="A56" s="19" t="s">
        <v>921</v>
      </c>
      <c r="B56" s="20" t="s">
        <v>833</v>
      </c>
      <c r="C56" s="21">
        <f>COUNTIF(ToolsManualUiUxCases[UX Category],"Visual regression")</f>
        <v>1</v>
      </c>
      <c r="D56" s="20" t="s">
        <v>943</v>
      </c>
    </row>
    <row r="57" ht="27" customHeight="1" spans="1:4" s="18" customFormat="1" x14ac:dyDescent="0.25">
      <c r="A57" s="19" t="s">
        <v>921</v>
      </c>
      <c r="B57" s="20" t="s">
        <v>611</v>
      </c>
      <c r="C57" s="21">
        <f>COUNTIF(ToolsManualUiUxCases[UX Category],"Wizard usability")</f>
        <v>1</v>
      </c>
      <c r="D57" s="20" t="s">
        <v>944</v>
      </c>
    </row>
  </sheetData>
  <autoFilter ref="A4:D57"/>
  <mergeCells count="2">
    <mergeCell ref="A1:D1"/>
    <mergeCell ref="A2:D2"/>
  </mergeCells>
  <pageMargins left="0.25" right="0.25" top="0.5" bottom="0.5" header="0.2" footer="0.2"/>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B78"/>
    <pageSetUpPr fitToPage="1"/>
  </sheetPr>
  <dimension ref="A1:F23"/>
  <sheetViews>
    <sheetView workbookViewId="0" showGridLines="0">
      <pane ySplit="1" topLeftCell="A2" activePane="bottomLeft" state="frozen"/>
      <selection pane="bottomLeft"/>
    </sheetView>
  </sheetViews>
  <sheetFormatPr defaultRowHeight="15" outlineLevelRow="0" outlineLevelCol="0" x14ac:dyDescent="55"/>
  <cols>
    <col min="1" max="1" width="27" customWidth="1"/>
    <col min="2" max="2" width="23" customWidth="1"/>
    <col min="3" max="3" width="25" customWidth="1"/>
    <col min="4" max="4" width="12" customWidth="1"/>
    <col min="5" max="5" width="78" customWidth="1"/>
    <col min="6" max="6" width="48" customWidth="1"/>
  </cols>
  <sheetData>
    <row r="1" ht="30" customHeight="1" spans="1:6" s="22" customFormat="1" x14ac:dyDescent="0.25">
      <c r="A1" s="22" t="s">
        <v>945</v>
      </c>
      <c r="B1" s="22" t="s">
        <v>946</v>
      </c>
      <c r="C1" s="22" t="s">
        <v>947</v>
      </c>
      <c r="D1" s="22" t="s">
        <v>948</v>
      </c>
      <c r="E1" s="22" t="s">
        <v>949</v>
      </c>
      <c r="F1" s="22" t="s">
        <v>950</v>
      </c>
    </row>
    <row r="2" ht="42" customHeight="1" spans="1:6" s="4" customFormat="1" x14ac:dyDescent="0.25">
      <c r="A2" s="8" t="s">
        <v>60</v>
      </c>
      <c r="B2" s="4" t="s">
        <v>29</v>
      </c>
      <c r="C2" s="4" t="s">
        <v>951</v>
      </c>
      <c r="D2" s="4" t="s">
        <v>952</v>
      </c>
      <c r="E2" s="4" t="s">
        <v>953</v>
      </c>
      <c r="F2" s="4" t="s">
        <v>954</v>
      </c>
    </row>
    <row r="3" ht="42" customHeight="1" spans="1:6" s="4" customFormat="1" x14ac:dyDescent="0.25">
      <c r="A3" s="8" t="s">
        <v>62</v>
      </c>
      <c r="B3" s="4" t="s">
        <v>29</v>
      </c>
      <c r="C3" s="4" t="s">
        <v>951</v>
      </c>
      <c r="D3" s="4" t="s">
        <v>952</v>
      </c>
      <c r="E3" s="4" t="s">
        <v>955</v>
      </c>
      <c r="F3" s="4" t="s">
        <v>956</v>
      </c>
    </row>
    <row r="4" ht="42" customHeight="1" spans="1:6" s="4" customFormat="1" x14ac:dyDescent="0.25">
      <c r="A4" s="8" t="s">
        <v>64</v>
      </c>
      <c r="B4" s="4" t="s">
        <v>29</v>
      </c>
      <c r="C4" s="4" t="s">
        <v>951</v>
      </c>
      <c r="D4" s="4" t="s">
        <v>952</v>
      </c>
      <c r="E4" s="4" t="s">
        <v>957</v>
      </c>
      <c r="F4" s="4" t="s">
        <v>958</v>
      </c>
    </row>
    <row r="5" ht="42" customHeight="1" spans="1:6" s="4" customFormat="1" x14ac:dyDescent="0.25">
      <c r="A5" s="8" t="s">
        <v>65</v>
      </c>
      <c r="B5" s="4" t="s">
        <v>29</v>
      </c>
      <c r="C5" s="4" t="s">
        <v>951</v>
      </c>
      <c r="D5" s="4" t="s">
        <v>952</v>
      </c>
      <c r="E5" s="4" t="s">
        <v>959</v>
      </c>
      <c r="F5" s="4" t="s">
        <v>960</v>
      </c>
    </row>
    <row r="6" ht="42" customHeight="1" spans="1:6" s="4" customFormat="1" x14ac:dyDescent="0.25">
      <c r="A6" s="8" t="s">
        <v>66</v>
      </c>
      <c r="B6" s="4" t="s">
        <v>29</v>
      </c>
      <c r="C6" s="4" t="s">
        <v>951</v>
      </c>
      <c r="D6" s="4" t="s">
        <v>952</v>
      </c>
      <c r="E6" s="4" t="s">
        <v>961</v>
      </c>
      <c r="F6" s="4" t="s">
        <v>962</v>
      </c>
    </row>
    <row r="7" ht="42" customHeight="1" spans="1:6" s="4" customFormat="1" x14ac:dyDescent="0.25">
      <c r="A7" s="8" t="s">
        <v>67</v>
      </c>
      <c r="B7" s="4" t="s">
        <v>14</v>
      </c>
      <c r="C7" s="4" t="s">
        <v>951</v>
      </c>
      <c r="D7" s="4" t="s">
        <v>952</v>
      </c>
      <c r="E7" s="4" t="s">
        <v>963</v>
      </c>
      <c r="F7" s="4" t="s">
        <v>964</v>
      </c>
    </row>
    <row r="8" ht="42" customHeight="1" spans="1:6" s="4" customFormat="1" x14ac:dyDescent="0.25">
      <c r="A8" s="8" t="s">
        <v>477</v>
      </c>
      <c r="B8" s="4" t="s">
        <v>965</v>
      </c>
      <c r="C8" s="4" t="s">
        <v>951</v>
      </c>
      <c r="D8" s="4" t="s">
        <v>952</v>
      </c>
      <c r="E8" s="4" t="s">
        <v>966</v>
      </c>
      <c r="F8" s="4" t="s">
        <v>967</v>
      </c>
    </row>
    <row r="9" ht="42" customHeight="1" spans="1:6" s="4" customFormat="1" x14ac:dyDescent="0.25">
      <c r="A9" s="8" t="s">
        <v>68</v>
      </c>
      <c r="B9" s="4" t="s">
        <v>29</v>
      </c>
      <c r="C9" s="4" t="s">
        <v>951</v>
      </c>
      <c r="D9" s="4" t="s">
        <v>952</v>
      </c>
      <c r="E9" s="4" t="s">
        <v>968</v>
      </c>
      <c r="F9" s="4" t="s">
        <v>969</v>
      </c>
    </row>
    <row r="10" ht="42" customHeight="1" spans="1:6" s="4" customFormat="1" x14ac:dyDescent="0.25">
      <c r="A10" s="8" t="s">
        <v>970</v>
      </c>
      <c r="B10" s="4" t="s">
        <v>29</v>
      </c>
      <c r="C10" s="4" t="s">
        <v>951</v>
      </c>
      <c r="D10" s="4" t="s">
        <v>952</v>
      </c>
      <c r="E10" s="4" t="s">
        <v>971</v>
      </c>
      <c r="F10" s="4" t="s">
        <v>622</v>
      </c>
    </row>
    <row r="11" ht="42" customHeight="1" spans="1:6" s="4" customFormat="1" x14ac:dyDescent="0.25">
      <c r="A11" s="8" t="s">
        <v>479</v>
      </c>
      <c r="B11" s="4" t="s">
        <v>965</v>
      </c>
      <c r="C11" s="4" t="s">
        <v>951</v>
      </c>
      <c r="D11" s="4" t="s">
        <v>952</v>
      </c>
      <c r="E11" s="4" t="s">
        <v>972</v>
      </c>
      <c r="F11" s="4" t="s">
        <v>973</v>
      </c>
    </row>
    <row r="12" ht="42" customHeight="1" spans="1:6" s="4" customFormat="1" x14ac:dyDescent="0.25">
      <c r="A12" s="8" t="s">
        <v>71</v>
      </c>
      <c r="B12" s="4" t="s">
        <v>29</v>
      </c>
      <c r="C12" s="4" t="s">
        <v>951</v>
      </c>
      <c r="D12" s="4" t="s">
        <v>952</v>
      </c>
      <c r="E12" s="4" t="s">
        <v>974</v>
      </c>
      <c r="F12" s="4" t="s">
        <v>90</v>
      </c>
    </row>
    <row r="13" ht="42" customHeight="1" spans="1:6" s="4" customFormat="1" x14ac:dyDescent="0.25">
      <c r="A13" s="8" t="s">
        <v>72</v>
      </c>
      <c r="B13" s="4" t="s">
        <v>29</v>
      </c>
      <c r="C13" s="4" t="s">
        <v>951</v>
      </c>
      <c r="D13" s="4" t="s">
        <v>952</v>
      </c>
      <c r="E13" s="4" t="s">
        <v>975</v>
      </c>
      <c r="F13" s="4" t="s">
        <v>91</v>
      </c>
    </row>
    <row r="14" ht="42" customHeight="1" spans="1:6" s="4" customFormat="1" x14ac:dyDescent="0.25">
      <c r="A14" s="8" t="s">
        <v>73</v>
      </c>
      <c r="B14" s="4" t="s">
        <v>14</v>
      </c>
      <c r="C14" s="4" t="s">
        <v>951</v>
      </c>
      <c r="D14" s="4" t="s">
        <v>952</v>
      </c>
      <c r="E14" s="4" t="s">
        <v>976</v>
      </c>
      <c r="F14" s="4" t="s">
        <v>92</v>
      </c>
    </row>
    <row r="15" ht="42" customHeight="1" spans="1:6" s="4" customFormat="1" x14ac:dyDescent="0.25">
      <c r="A15" s="8" t="s">
        <v>74</v>
      </c>
      <c r="B15" s="4" t="s">
        <v>14</v>
      </c>
      <c r="C15" s="4" t="s">
        <v>951</v>
      </c>
      <c r="D15" s="4" t="s">
        <v>952</v>
      </c>
      <c r="E15" s="4" t="s">
        <v>977</v>
      </c>
      <c r="F15" s="4" t="s">
        <v>193</v>
      </c>
    </row>
    <row r="16" ht="42" customHeight="1" spans="1:6" s="4" customFormat="1" x14ac:dyDescent="0.25">
      <c r="A16" s="8" t="s">
        <v>27</v>
      </c>
      <c r="B16" s="4" t="s">
        <v>29</v>
      </c>
      <c r="C16" s="4" t="s">
        <v>951</v>
      </c>
      <c r="D16" s="4" t="s">
        <v>952</v>
      </c>
      <c r="E16" s="4" t="s">
        <v>978</v>
      </c>
      <c r="F16" s="4" t="s">
        <v>979</v>
      </c>
    </row>
    <row r="17" ht="42" customHeight="1" spans="1:6" s="4" customFormat="1" x14ac:dyDescent="0.25">
      <c r="A17" s="8" t="s">
        <v>30</v>
      </c>
      <c r="B17" s="4" t="s">
        <v>29</v>
      </c>
      <c r="C17" s="4" t="s">
        <v>951</v>
      </c>
      <c r="D17" s="4" t="s">
        <v>952</v>
      </c>
      <c r="E17" s="4" t="s">
        <v>980</v>
      </c>
      <c r="F17" s="4" t="s">
        <v>981</v>
      </c>
    </row>
    <row r="18" ht="42" customHeight="1" spans="1:6" s="4" customFormat="1" x14ac:dyDescent="0.25">
      <c r="A18" s="8" t="s">
        <v>76</v>
      </c>
      <c r="B18" s="4" t="s">
        <v>14</v>
      </c>
      <c r="C18" s="4" t="s">
        <v>951</v>
      </c>
      <c r="D18" s="4" t="s">
        <v>952</v>
      </c>
      <c r="E18" s="4" t="s">
        <v>982</v>
      </c>
      <c r="F18" s="4" t="s">
        <v>983</v>
      </c>
    </row>
    <row r="19" ht="42" customHeight="1" spans="1:6" s="4" customFormat="1" x14ac:dyDescent="0.25">
      <c r="A19" s="8" t="s">
        <v>481</v>
      </c>
      <c r="B19" s="4" t="s">
        <v>965</v>
      </c>
      <c r="C19" s="4" t="s">
        <v>952</v>
      </c>
      <c r="D19" s="4" t="s">
        <v>952</v>
      </c>
      <c r="E19" s="4" t="s">
        <v>984</v>
      </c>
      <c r="F19" s="4" t="s">
        <v>985</v>
      </c>
    </row>
    <row r="20" ht="42" customHeight="1" spans="1:6" s="4" customFormat="1" x14ac:dyDescent="0.25">
      <c r="A20" s="8" t="s">
        <v>482</v>
      </c>
      <c r="B20" s="4" t="s">
        <v>965</v>
      </c>
      <c r="C20" s="4" t="s">
        <v>952</v>
      </c>
      <c r="D20" s="4" t="s">
        <v>986</v>
      </c>
      <c r="E20" s="4" t="s">
        <v>987</v>
      </c>
      <c r="F20" s="4" t="s">
        <v>988</v>
      </c>
    </row>
    <row r="21" ht="42" customHeight="1" spans="1:6" s="4" customFormat="1" x14ac:dyDescent="0.25">
      <c r="A21" s="8" t="s">
        <v>989</v>
      </c>
      <c r="B21" s="4" t="s">
        <v>965</v>
      </c>
      <c r="C21" s="4" t="s">
        <v>952</v>
      </c>
      <c r="D21" s="4" t="s">
        <v>986</v>
      </c>
      <c r="E21" s="4" t="s">
        <v>990</v>
      </c>
      <c r="F21" s="4" t="s">
        <v>991</v>
      </c>
    </row>
    <row r="22" ht="42" customHeight="1" spans="1:6" s="4" customFormat="1" x14ac:dyDescent="0.25">
      <c r="A22" s="8" t="s">
        <v>485</v>
      </c>
      <c r="B22" s="4" t="s">
        <v>965</v>
      </c>
      <c r="C22" s="4" t="s">
        <v>952</v>
      </c>
      <c r="D22" s="4" t="s">
        <v>992</v>
      </c>
      <c r="E22" s="4" t="s">
        <v>993</v>
      </c>
      <c r="F22" s="4" t="s">
        <v>994</v>
      </c>
    </row>
    <row r="23" ht="42" customHeight="1" spans="1:6" s="4" customFormat="1" x14ac:dyDescent="0.25">
      <c r="A23" s="8" t="s">
        <v>486</v>
      </c>
      <c r="B23" s="4" t="s">
        <v>965</v>
      </c>
      <c r="C23" s="4" t="s">
        <v>952</v>
      </c>
      <c r="D23" s="4" t="s">
        <v>951</v>
      </c>
      <c r="E23" s="4" t="s">
        <v>995</v>
      </c>
      <c r="F23" s="4" t="s">
        <v>996</v>
      </c>
    </row>
  </sheetData>
  <pageMargins left="0.25" right="0.25" top="0.5" bottom="0.5" header="0.2" footer="0.2"/>
  <pageSetup paperSize="9" orientation="landscape" fitToWidth="1"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Automated Cases</vt:lpstr>
      <vt:lpstr>Manual UI UX Cases</vt:lpstr>
      <vt:lpstr>Coverage Summary</vt:lpstr>
      <vt:lpstr>Field Reference</vt:lpstr>
    </vt:vector>
  </TitlesOfParts>
  <Company>Ledgers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Copilot Playwright</dc:creator>
  <dc:title>Tools UI/UX Test Cases</dc:title>
  <dc:subject>Human-readable automated and manual UI/UX coverage for June Tools</dc:subject>
  <dc:description>{"schemaVersion":1,"module":"Tools","generatedAt":"2026-09-23T12:59:47.276Z","automatedCount":49,"manualCount":34,"sourceHashes":{"scripts/create-ui-ux-test-suites.mjs":"90e73e8f83f39210b5b5e5e9512fa2d4d35fca9e9506a6fac49188e225ff738d","test-cases/suite-tag-registry.mjs":"ee3c2d26fd81bb555b15bb3a6e0b07d21e57c35c7a05720dafafe30b29ababc4","test-cases/ui-ux-manual/index.mjs":"09e77d1a6d16bb5af7d92e3349e0d498032821b5c68385e24ed252131e3d320d","test-cases/ui-ux-manual/account.mjs":"a2b8c12598e6bc2af100f51d26fbc351d656d2c9491009262e5b75b9bedad49c","test-cases/ui-ux-manual/agents.mjs":"08fcdf480b75500707cff650322eb73399a4924899055fb1a7c0f561b22cddad","test-cases/ui-ux-manual/tools.mjs":"58aba157e933a3dca363858b7817a1ddc2d16817fb4c6ca4ed19d1da9df688c5","test-cases/ui-ux-manual/connectors.mjs":"f8b2529182a337902bb1661e83cd63096b8acbd8ee14a25ff0f82ded4d6d61e9","test-cases/ui-ux-manual/knowledge.mjs":"8ef1cc1a293c4cde86e332bef24be93a5c2f78aa2b0546b42c3dc3d659d11335","test-cases/ui-ux-manual/guardrails.mjs":"885446819076498f2a2ffd88536490d42cd3dd557815eae71854f7e81e731652","test-cases/ui-ux-manual/ui-components.mjs":"1c33fb8683959a2c0a6a816ff4e861d1b3b00dbb3b842eb89df9800561310b65","test-cases/ui-ux-manual/product-tour.mjs":"cce4527c3b65355aad554657854b02f29c4c9245445325048959cc98fc8cc609","test-data/ui-automation-test-catalog.xlsx":"75e99f00b93f022bbbb291602d4491b4c0180c0e61bd7b2e82a590106ec73dd0","test-data/tools-data-driven.xlsx":"45bf325b700f3029f2754958e085bec9aa41e48323af7c2669fa4e28c9023a4c","config/environments.json":"90fe37e6e777c7704ce19b19b103f9b48b12d74aae18e677c026ef7163c51661"},"workbookHash":"dec4ce48e82d93403739a0df0f37c918d775b649dc56ac34b37e26280b3cc05c"}</dc:description>
  <cp:keywords/>
  <cp:category/>
  <cp:lastModifiedBy>QA Copilot Playwright</cp:lastModifiedBy>
  <dcterms:created xsi:type="dcterms:W3CDTF">2026-09-23T12:59:47Z</dcterms:created>
  <dcterms:modified xsi:type="dcterms:W3CDTF">2026-09-23T12:59:47Z</dcterms:modified>
</cp:coreProperties>
</file>