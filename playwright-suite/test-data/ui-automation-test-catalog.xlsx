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Coverage Summary" state="visible" r:id="rId5"/>
    <sheet sheetId="3" name="UI Test Cases" state="visible" r:id="rId6"/>
    <sheet sheetId="4" name="Environment Matrix" state="visible" r:id="rId7"/>
    <sheet sheetId="5" name="Field Reference" state="visible" r:id="rId8"/>
  </sheets>
  <definedNames>
    <definedName name="_xlnm.Print_Titles" localSheetId="2">'UI Test Cases'!$1:$1</definedName>
  </definedNames>
  <calcPr calcId="171027" fullCalcOnLoad="1"/>
</workbook>
</file>

<file path=xl/sharedStrings.xml><?xml version="1.0" encoding="utf-8"?>
<sst xmlns="http://schemas.openxmlformats.org/spreadsheetml/2006/main" count="4711" uniqueCount="1939">
  <si>
    <t>June UI Automation Test Catalog</t>
  </si>
  <si>
    <t>All implemented modules | Playwright + Excel data-driven testing</t>
  </si>
  <si>
    <t>Topic</t>
  </si>
  <si>
    <t>Guidance</t>
  </si>
  <si>
    <t>Applies To</t>
  </si>
  <si>
    <t>Scope</t>
  </si>
  <si>
    <t>217 existing UI automation cases: 12 Account, 30 Agents, 49 Tools, 24 Connectors, 30 Knowledge, 30 Guardrails, 30 UI Components, 12 Product Tour.</t>
  </si>
  <si>
    <t>All modules</t>
  </si>
  <si>
    <t>Purpose</t>
  </si>
  <si>
    <t>A clean, uniform and forwardable view of the current UI automation coverage. It is generated documentation, not a replacement for the eight runtime input workbooks.</t>
  </si>
  <si>
    <t>Review / sharing</t>
  </si>
  <si>
    <t>Runtime inputs</t>
  </si>
  <si>
    <t>Playwright continues to read the existing data-driven workbook for each implemented module. Those eight workbooks remain unchanged.</t>
  </si>
  <si>
    <t>Execution</t>
  </si>
  <si>
    <t>Source of truth</t>
  </si>
  <si>
    <t>Actions and assertions remain in Playwright code. Run Flag, Test Data JSON and Notes are read from each module input workbook; catalog metadata is read from the case definitions.</t>
  </si>
  <si>
    <t>Maintenance</t>
  </si>
  <si>
    <t>Regenerate catalog</t>
  </si>
  <si>
    <t>From the repository root: npm.cmd run data:ui-catalog</t>
  </si>
  <si>
    <t>Validate input data</t>
  </si>
  <si>
    <t>Run the matching data:&lt;module&gt;:check command for Account, Agents, Tools, Connectors, Knowledge, Guardrails, UI Components or Product Tour.</t>
  </si>
  <si>
    <t>Validation</t>
  </si>
  <si>
    <t>Run by environment</t>
  </si>
  <si>
    <t>Use npm.cmd run env:run -- &lt;dev|uat|live&gt; &lt;module&gt;. For visible Chrome, append --headed.</t>
  </si>
  <si>
    <t>Authentication</t>
  </si>
  <si>
    <t>Use npm.cmd run auth:login:&lt;environment&gt; once when a saved session is missing or expired. Credentials and storage state are never written into this catalog.</t>
  </si>
  <si>
    <t>Security</t>
  </si>
  <si>
    <t>Environment data</t>
  </si>
  <si>
    <t>Account names such as HCL and USHA describe the recorded fixture. Confirm each source workbook Settings value exists in the selected DEV, UAT or LIVE account before running.</t>
  </si>
  <si>
    <t>Portability</t>
  </si>
  <si>
    <t>Classification</t>
  </si>
  <si>
    <t>Category is the maintained functional grouping. For consistent cross-module security coverage, use Scenario Type, Security Area and OWASP Reference.</t>
  </si>
  <si>
    <t>Review</t>
  </si>
  <si>
    <t>Results</t>
  </si>
  <si>
    <t>Execution evidence is written separately under playwright-suite/test-results/&lt;environment&gt;/excel/. This catalog intentionally has no Actual Result or Status columns.</t>
  </si>
  <si>
    <t>Reporting</t>
  </si>
  <si>
    <t>Write safety</t>
  </si>
  <si>
    <t>Write Operation = YES identifies cases that create, update, upload or delete synthetic data. Review these rows before any live run.</t>
  </si>
  <si>
    <t>Safety</t>
  </si>
  <si>
    <t>UI/UX scope</t>
  </si>
  <si>
    <t>API-only fields such as HTTP method, response status, JSONPath and response timing are outside this browser UI catalog scope.</t>
  </si>
  <si>
    <t>Editing guidance</t>
  </si>
  <si>
    <t>Edit the original module workbook, then regenerate this catalog. Editing this generated catalog does not change Playwright execution.</t>
  </si>
  <si>
    <t>Coverage Summary</t>
  </si>
  <si>
    <t>Counts recalculate in Excel when Run Flag values change.</t>
  </si>
  <si>
    <t>Section</t>
  </si>
  <si>
    <t>Metric</t>
  </si>
  <si>
    <t>Count</t>
  </si>
  <si>
    <t>Meaning</t>
  </si>
  <si>
    <t>Overview</t>
  </si>
  <si>
    <t>Total cases</t>
  </si>
  <si>
    <t>All documented cases across the eight implemented modules.</t>
  </si>
  <si>
    <t>Enabled cases</t>
  </si>
  <si>
    <t>Cases enabled in the source module workbooks.</t>
  </si>
  <si>
    <t>Disabled cases</t>
  </si>
  <si>
    <t>Cases intentionally skipped by source Excel.</t>
  </si>
  <si>
    <t>Write operations</t>
  </si>
  <si>
    <t>Creates, updates, uploads or deletes synthetic data.</t>
  </si>
  <si>
    <t>Read-only operations</t>
  </si>
  <si>
    <t>Does not intentionally persist application data.</t>
  </si>
  <si>
    <t>Security-mapped cases</t>
  </si>
  <si>
    <t>Cases with an explicit security area and usually an OWASP mapping.</t>
  </si>
  <si>
    <t>Module</t>
  </si>
  <si>
    <t>Account</t>
  </si>
  <si>
    <t>Module coverage for Account.</t>
  </si>
  <si>
    <t>Agents</t>
  </si>
  <si>
    <t>Module coverage for Agents.</t>
  </si>
  <si>
    <t>Connectors</t>
  </si>
  <si>
    <t>Module coverage for Connectors.</t>
  </si>
  <si>
    <t>Guardrails</t>
  </si>
  <si>
    <t>Module coverage for Guardrails.</t>
  </si>
  <si>
    <t>Knowledge</t>
  </si>
  <si>
    <t>Module coverage for Knowledge.</t>
  </si>
  <si>
    <t>Product Tour</t>
  </si>
  <si>
    <t>Module coverage for Product Tour.</t>
  </si>
  <si>
    <t>Tools</t>
  </si>
  <si>
    <t>Module coverage for Tools.</t>
  </si>
  <si>
    <t>UI Components</t>
  </si>
  <si>
    <t>Module coverage for UI Components.</t>
  </si>
  <si>
    <t>Scenario</t>
  </si>
  <si>
    <t>Negative</t>
  </si>
  <si>
    <t>Scenario coverage for Negative.</t>
  </si>
  <si>
    <t>Negative + Security</t>
  </si>
  <si>
    <t>Scenario coverage for Negative + Security.</t>
  </si>
  <si>
    <t>Positive</t>
  </si>
  <si>
    <t>Scenario coverage for Positive.</t>
  </si>
  <si>
    <t>Positive + Negative</t>
  </si>
  <si>
    <t>Scenario coverage for Positive + Negative.</t>
  </si>
  <si>
    <t>Scenario coverage for Security.</t>
  </si>
  <si>
    <t>Priority</t>
  </si>
  <si>
    <t>P1</t>
  </si>
  <si>
    <t>Priority coverage for P1.</t>
  </si>
  <si>
    <t>P2</t>
  </si>
  <si>
    <t>Priority coverage for P2.</t>
  </si>
  <si>
    <t>Severity</t>
  </si>
  <si>
    <t>Critical</t>
  </si>
  <si>
    <t>Severity coverage for Critical.</t>
  </si>
  <si>
    <t>High</t>
  </si>
  <si>
    <t>Severity coverage for High.</t>
  </si>
  <si>
    <t>Medium</t>
  </si>
  <si>
    <t>Severity coverage for Medium.</t>
  </si>
  <si>
    <t>Category</t>
  </si>
  <si>
    <t>Accessibility</t>
  </si>
  <si>
    <t>Category coverage for Accessibility.</t>
  </si>
  <si>
    <t>Category coverage for Authentication.</t>
  </si>
  <si>
    <t>Chat composer</t>
  </si>
  <si>
    <t>Category coverage for Chat composer.</t>
  </si>
  <si>
    <t>Connector integration</t>
  </si>
  <si>
    <t>Category coverage for Connector integration.</t>
  </si>
  <si>
    <t>Document attachment</t>
  </si>
  <si>
    <t>Category coverage for Document attachment.</t>
  </si>
  <si>
    <t>End to end</t>
  </si>
  <si>
    <t>Category coverage for End to end.</t>
  </si>
  <si>
    <t>Functional</t>
  </si>
  <si>
    <t>Category coverage for Functional.</t>
  </si>
  <si>
    <t>Integration</t>
  </si>
  <si>
    <t>Category coverage for Integration.</t>
  </si>
  <si>
    <t>Category coverage for Security.</t>
  </si>
  <si>
    <t>Sequence</t>
  </si>
  <si>
    <t>Run Flag</t>
  </si>
  <si>
    <t>Test Case ID</t>
  </si>
  <si>
    <t>Product Module</t>
  </si>
  <si>
    <t>Feature / Area</t>
  </si>
  <si>
    <t>Title</t>
  </si>
  <si>
    <t>Description</t>
  </si>
  <si>
    <t>Scenario Type</t>
  </si>
  <si>
    <t>Preconditions</t>
  </si>
  <si>
    <t>Test Steps</t>
  </si>
  <si>
    <t>Expected Result</t>
  </si>
  <si>
    <t>Test Data JSON</t>
  </si>
  <si>
    <t>Write Operation</t>
  </si>
  <si>
    <t>Security Area</t>
  </si>
  <si>
    <t>OWASP Reference</t>
  </si>
  <si>
    <t>Tags</t>
  </si>
  <si>
    <t>Source Workbook</t>
  </si>
  <si>
    <t>Notes</t>
  </si>
  <si>
    <t>YES</t>
  </si>
  <si>
    <t>AC-001</t>
  </si>
  <si>
    <t>Account authentication and identity</t>
  </si>
  <si>
    <t>Verify the saved login and open My Account</t>
  </si>
  <si>
    <t>Run one authenticated-session check and select My Account before any module flow starts.</t>
  </si>
  <si>
    <t>1. A valid authenticated June storage state is available.</t>
  </si>
  <si>
    <t xml:space="preserve">1. Open the configured June base URL with the saved authenticated storage state.
2. Verify the login page is not shown and the authenticated account menu is available.
3. Open the account menu and select My Account.
4. Verify My Account is the active account context.</t>
  </si>
  <si>
    <t>The saved login is accepted and My Account becomes the active context without another sign-in.</t>
  </si>
  <si>
    <t xml:space="preserve">{
  "baseUrl": "{{BASE_URL}}",
  "myAccountLabel": "{{MY_ACCOUNT_LABEL}}"
}</t>
  </si>
  <si>
    <t>NO</t>
  </si>
  <si>
    <t/>
  </si>
  <si>
    <t>flow, account, preflight, authentication, my-account</t>
  </si>
  <si>
    <t>account-data-driven.xlsx</t>
  </si>
  <si>
    <t>AC-004</t>
  </si>
  <si>
    <t>My Account task chat</t>
  </si>
  <si>
    <t>Enter an Excel-driven message in the My Account chat composer</t>
  </si>
  <si>
    <t>Verify the authenticated My Account task accepts the exact dated message supplied by Excel and enables submission.</t>
  </si>
  <si>
    <t xml:space="preserve">1. AC-001 verified the authenticated My Account context.
2. The task chat composer is available.</t>
  </si>
  <si>
    <t xml:space="preserve">1. Open a new task chat while My Account is active.
2. Enter the Excel-driven message containing the current run date and time.
3. Verify the composer contains the exact message.
4. Verify the send action becomes enabled without submitting unintended data.</t>
  </si>
  <si>
    <t>The exact Excel-driven message is accepted in the My Account composer and is ready to send.</t>
  </si>
  <si>
    <t xml:space="preserve">{
  "message": "QA My Account chat validation {{RUN_ISO}}"
}</t>
  </si>
  <si>
    <t>flow, account, preflight, my-account, chat, data-driven</t>
  </si>
  <si>
    <t>AC-005</t>
  </si>
  <si>
    <t>My Account connected connector</t>
  </si>
  <si>
    <t>Select the connected Excel-driven connector in My Account chat</t>
  </si>
  <si>
    <t>Prove the configured connected connector is offered to My Account, can be selected, and can accompany an Excel-driven message.</t>
  </si>
  <si>
    <t xml:space="preserve">1. AC-001 verified the authenticated My Account context.
2. The connector configured in Account Excel remains connected to My Account.</t>
  </si>
  <si>
    <t xml:space="preserve">1. Open a new task chat while My Account is active.
2. Open Add connector and expand the connected Connectors list.
3. Select the connector named in Account Excel.
4. Verify the selected connector badge and its removal control are visible.
5. Enter the connector message from Excel and verify it is ready to send.</t>
  </si>
  <si>
    <t>The configured connected connector is available and selected, and the exact connector message is accepted by the composer.</t>
  </si>
  <si>
    <t xml:space="preserve">{
  "connectorName": "{{CONNECTED_CONNECTOR}}",
  "message": "QA My Account connected connector validation {{RUN_ISO}}"
}</t>
  </si>
  <si>
    <t>flow, account, preflight, my-account, connector, integration, data-driven</t>
  </si>
  <si>
    <t>AC-006</t>
  </si>
  <si>
    <t>My Account document upload</t>
  </si>
  <si>
    <t>Upload and submit an Excel-driven PDF from My Account chat</t>
  </si>
  <si>
    <t>Create an active room, generate a non-sensitive PDF from Excel data, attach it, and submit the document message.</t>
  </si>
  <si>
    <t xml:space="preserve">1. AC-001 verified the authenticated My Account context.
2. The task can create a chat room and accepts PDF attachments.</t>
  </si>
  <si>
    <t xml:space="preserve">1. Open a new task chat while My Account is active.
2. Submit the Excel-driven room message and wait for the composer to recover.
3. Generate and attach the PDF name, MIME type and content supplied by Excel.
4. Verify the PDF preview and exact removal control are visible.
5. Submit the Excel-driven upload message with the attachment.
6. Verify the message is accepted, the pending attachment clears and the composer recovers.</t>
  </si>
  <si>
    <t>The Excel-driven PDF is previewed and submitted from an active My Account room without exposing a real customer document.</t>
  </si>
  <si>
    <t xml:space="preserve">{
  "roomMessage": "QA My Account document room setup {{RUN_ISO}}",
  "fileName": "qa-account-upload-{{RUN_STAMP}}.pdf",
  "mimeType": "application/pdf",
  "documentText": "QA Account PDF upload validation {{RUN_ISO}}",
  "uploadMessage": "Validate the attached QA account document {{RUN_ISO}}",
  "completionTimeoutMs": 180000
}</t>
  </si>
  <si>
    <t>flow, account, preflight, my-account, chat, document-upload, pdf, data-driven</t>
  </si>
  <si>
    <t>AC-002</t>
  </si>
  <si>
    <t>Subscribed business switching</t>
  </si>
  <si>
    <t>Switch to subscribed HCL business and verify module navigation</t>
  </si>
  <si>
    <t>Select the recorded HCL business by name and GSTIN and prove subscribed module access.</t>
  </si>
  <si>
    <t xml:space="preserve">1. AC-001 verified the authenticated session in the same run.
2. The recorded HCL business remains linked to the authenticated user.</t>
  </si>
  <si>
    <t xml:space="preserve">1. Open Switch Account from the authenticated account menu.
2. Find the configured HCL business and verify its recorded GSTIN.
3. Select the HCL business and verify its name in the active account menu.
4. Open each configured module used by the downstream flows.
5. Verify subscribed module navigation does not show the Pro Plan access gate.</t>
  </si>
  <si>
    <t>HCL INFOTECH LIMITED becomes active and every configured subscribed module can be opened.</t>
  </si>
  <si>
    <t xml:space="preserve">{
  "subscribedBusiness": "{{SUBSCRIBED_BUSINESS}}",
  "subscribedGstin": "{{SUBSCRIBED_GSTIN}}",
  "navigationModules": "{{RESTRICTED_MODULES}}",
  "blockedHeading": "{{PRO_PLAN_HEADING}}"
}</t>
  </si>
  <si>
    <t>flow, account, preflight, switch-account, subscription, navigation</t>
  </si>
  <si>
    <t>AC-007</t>
  </si>
  <si>
    <t>Subscribed business task chat</t>
  </si>
  <si>
    <t>Enter an Excel-driven message in the subscribed HCL chat composer</t>
  </si>
  <si>
    <t>Switch to HCL and verify its task accepts the exact dated chat message supplied by Excel.</t>
  </si>
  <si>
    <t xml:space="preserve">1. The HCL business remains linked to the authenticated user.
2. AC-002 verified subscribed access for HCL.</t>
  </si>
  <si>
    <t xml:space="preserve">1. Switch from My Account to the configured subscribed HCL business.
2. Open a new task chat.
3. Enter the dated HCL message from Excel.
4. Verify the exact value and enabled send action.
5. Restore My Account.</t>
  </si>
  <si>
    <t>The subscribed HCL task accepts the exact Excel-driven chat message and My Account is restored.</t>
  </si>
  <si>
    <t xml:space="preserve">{
  "message": "QA HCL subscribed business chat validation {{RUN_ISO}}"
}</t>
  </si>
  <si>
    <t>flow, account, preflight, subscribed-business, chat, data-driven</t>
  </si>
  <si>
    <t>AC-008</t>
  </si>
  <si>
    <t>Subscribed business connected connector</t>
  </si>
  <si>
    <t>Select the connected Excel-driven connector in subscribed HCL chat</t>
  </si>
  <si>
    <t>Switch to HCL and prove its task exposes and selects the configured connected connector.</t>
  </si>
  <si>
    <t xml:space="preserve">1. The HCL business remains linked and subscribed.
2. The connector configured for HCL remains connected.</t>
  </si>
  <si>
    <t xml:space="preserve">1. Switch to the configured subscribed HCL business.
2. Open a new task chat and the connected Connectors list.
3. Select the HCL connector from Excel.
4. Verify its selected badge and enter the exact connector message.
5. Remove the selection and restore My Account.</t>
  </si>
  <si>
    <t>The HCL connector is available and selected, its Excel message is accepted, and My Account is restored.</t>
  </si>
  <si>
    <t xml:space="preserve">{
  "connectorName": "{{SUBSCRIBED_CONNECTED_CONNECTOR}}",
  "message": "QA HCL subscribed connector validation {{RUN_ISO}}"
}</t>
  </si>
  <si>
    <t>flow, account, preflight, subscribed-business, connector, integration, data-driven</t>
  </si>
  <si>
    <t>AC-009</t>
  </si>
  <si>
    <t>Subscribed business document upload</t>
  </si>
  <si>
    <t>Upload and submit an Excel-driven PDF from subscribed HCL chat</t>
  </si>
  <si>
    <t>Switch to HCL, create a room, generate the non-sensitive Excel PDF and submit it from chat.</t>
  </si>
  <si>
    <t xml:space="preserve">1. The HCL business remains linked and subscribed.
2. The HCL task accepts PDF attachments.</t>
  </si>
  <si>
    <t xml:space="preserve">1. Switch to HCL and create a new active chat room.
2. Generate and attach the HCL PDF defined in Excel.
3. Verify the PDF preview and removal control.
4. Submit the upload message and wait for the composer to recover.
5. Restore My Account.</t>
  </si>
  <si>
    <t>The subscribed HCL task submits the synthetic Excel-driven PDF and My Account is restored.</t>
  </si>
  <si>
    <t xml:space="preserve">{
  "roomMessage": "QA HCL document room setup {{RUN_ISO}}",
  "fileName": "qa-hcl-upload-{{RUN_STAMP}}.pdf",
  "mimeType": "application/pdf",
  "documentText": "QA HCL PDF upload validation {{RUN_ISO}}",
  "uploadMessage": "Validate the attached QA HCL document {{RUN_ISO}}",
  "completionTimeoutMs": 180000
}</t>
  </si>
  <si>
    <t>flow, account, preflight, subscribed-business, document-upload, pdf, data-driven</t>
  </si>
  <si>
    <t>AC-010</t>
  </si>
  <si>
    <t>No-subscription task chat</t>
  </si>
  <si>
    <t>Enter an Excel-driven message in the USHA no-subscription chat composer</t>
  </si>
  <si>
    <t>Switch to USHA and verify basic task chat remains available even though paid modules are gated.</t>
  </si>
  <si>
    <t xml:space="preserve">1. USHA KANWAR remains linked to the authenticated user.
2. USHA has no active Pro subscription.</t>
  </si>
  <si>
    <t xml:space="preserve">1. Switch from My Account to USHA KANWAR.
2. Open a new task chat.
3. Enter the dated USHA message from Excel.
4. Verify the exact value and enabled send action.
5. Restore My Account.</t>
  </si>
  <si>
    <t>The USHA task accepts the exact Excel-driven chat message despite paid-module restrictions, then My Account is restored.</t>
  </si>
  <si>
    <t xml:space="preserve">{
  "message": "QA USHA no-subscription chat validation {{RUN_ISO}}"
}</t>
  </si>
  <si>
    <t>flow, account, preflight, no-subscription, chat, access-boundary, data-driven</t>
  </si>
  <si>
    <t>AC-011</t>
  </si>
  <si>
    <t>No-subscription chat connector</t>
  </si>
  <si>
    <t>Select the connected Excel-driven connector in USHA chat</t>
  </si>
  <si>
    <t>Verify the chat connector picker remains usable for USHA while Connectors management remains separately subscription-gated.</t>
  </si>
  <si>
    <t xml:space="preserve">1. USHA KANWAR remains linked without a Pro subscription.
2. The configured connector is exposed by the USHA chat picker.</t>
  </si>
  <si>
    <t xml:space="preserve">1. Switch to USHA KANWAR and open a new chat.
2. Open the chat connector picker and select the connector from Excel.
3. Verify the selected badge and exact connector message.
4. Do not treat chat selection as permission to open the paid Connectors module.
5. Remove the selection and restore My Account.</t>
  </si>
  <si>
    <t>USHA can select the configured connector inside chat, while the separate paid-module gate remains covered by AC-003.</t>
  </si>
  <si>
    <t xml:space="preserve">{
  "connectorName": "{{NO_SUBSCRIPTION_CONNECTED_CONNECTOR}}",
  "message": "QA USHA chat connector validation {{RUN_ISO}}"
}</t>
  </si>
  <si>
    <t>flow, account, preflight, no-subscription, connector, access-boundary, data-driven</t>
  </si>
  <si>
    <t>AC-012</t>
  </si>
  <si>
    <t>No-subscription document upload</t>
  </si>
  <si>
    <t>Upload and submit an Excel-driven PDF from USHA chat</t>
  </si>
  <si>
    <t>Verify the basic USHA chat can create a room and submit a synthetic PDF without granting paid-module access.</t>
  </si>
  <si>
    <t xml:space="preserve">1. USHA KANWAR remains linked without a Pro subscription.
2. Basic task chat remains available.</t>
  </si>
  <si>
    <t xml:space="preserve">1. Switch to USHA KANWAR and create a new active chat room.
2. Generate and attach the USHA PDF defined in Excel.
3. Verify the PDF preview and removal control.
4. Submit the upload message and wait for the composer to recover.
5. Restore My Account without activating a subscription.</t>
  </si>
  <si>
    <t>The USHA task submits the synthetic Excel-driven PDF, does not activate a subscription, and restores My Account.</t>
  </si>
  <si>
    <t xml:space="preserve">{
  "roomMessage": "QA USHA document room setup {{RUN_ISO}}",
  "fileName": "qa-usha-upload-{{RUN_STAMP}}.pdf",
  "mimeType": "application/pdf",
  "documentText": "QA USHA PDF upload validation {{RUN_ISO}}",
  "uploadMessage": "Validate the attached QA USHA document {{RUN_ISO}}",
  "completionTimeoutMs": 180000
}</t>
  </si>
  <si>
    <t>flow, account, preflight, no-subscription, document-upload, pdf, access-boundary, data-driven</t>
  </si>
  <si>
    <t>AC-003</t>
  </si>
  <si>
    <t>No-subscription access control</t>
  </si>
  <si>
    <t>Verify the USHA no-subscription gate and restore My Account</t>
  </si>
  <si>
    <t>Confirm restricted modules show the Pro Plan gate for USHA KANWAR, then restore My Account for later tests.</t>
  </si>
  <si>
    <t xml:space="preserve">1. A valid authenticated June session is available.
2. USHA KANWAR remains linked to the user and has no active Pro subscription.</t>
  </si>
  <si>
    <t xml:space="preserve">1. Open Switch Account and select USHA KANWAR.
2. Open every configured restricted module.
3. Verify each restricted module shows the Pro Plan heading and activation action.
4. Do not activate a trial or start checkout.
5. Open the account menu and select My Account.
6. Verify My Account is restored as the active context for downstream module tests.</t>
  </si>
  <si>
    <t>USHA KANWAR is gated from every restricted module and My Account is restored without changing a subscription.</t>
  </si>
  <si>
    <t xml:space="preserve">{
  "noSubscriptionBusiness": "{{NO_SUBSCRIPTION_BUSINESS}}",
  "restrictedModules": "{{RESTRICTED_MODULES}}",
  "proPlanHeading": "{{PRO_PLAN_HEADING}}",
  "proPlanCta": "{{PRO_PLAN_CTA}}",
  "restoreAccountLabel": "{{MY_ACCOUNT_LABEL}}",
  "activateSubscription": false
}</t>
  </si>
  <si>
    <t>flow, account, preflight, switch-account, no-subscription, access-control, restore</t>
  </si>
  <si>
    <t>AF-001</t>
  </si>
  <si>
    <t>Agent navigation</t>
  </si>
  <si>
    <t>Open the Agents module</t>
  </si>
  <si>
    <t>Verify authenticated entry to the Agents module and its primary controls.</t>
  </si>
  <si>
    <t>1. A valid authenticated June session is available.</t>
  </si>
  <si>
    <t xml:space="preserve">1. Open the Agents page.
2. Verify the Agents heading.
3. Verify Search agents, Create Agent, scope and sort controls.</t>
  </si>
  <si>
    <t>The Agents page opens in the authenticated business and exposes its discovery and creation controls.</t>
  </si>
  <si>
    <t>{}</t>
  </si>
  <si>
    <t>flow, smoke, agents, navigation</t>
  </si>
  <si>
    <t>agents-data-driven.xlsx</t>
  </si>
  <si>
    <t>AF-002</t>
  </si>
  <si>
    <t>Agent discovery</t>
  </si>
  <si>
    <t>Search for a visible agent and clear the search</t>
  </si>
  <si>
    <t>Verify exact live-agent discovery and restoration of the original list.</t>
  </si>
  <si>
    <t xml:space="preserve">1. A valid authenticated June session is available.
2. The active business contains at least one visible agent.</t>
  </si>
  <si>
    <t xml:space="preserve">1. Open the Agents page.
2. Capture the visible agent names and count.
3. Search with the first visible agent name.
4. Verify every result matches the search value.
5. Clear the search field.
6. Verify the original agent list returns.</t>
  </si>
  <si>
    <t>Search returns only matching agents and clearing restores the original visible list.</t>
  </si>
  <si>
    <t>flow, agents, search, regression</t>
  </si>
  <si>
    <t>AF-003</t>
  </si>
  <si>
    <t>Exercise every recorded Agent scope</t>
  </si>
  <si>
    <t>Verify All, My Agents, Public Agents and Shared Agents scope requests.</t>
  </si>
  <si>
    <t xml:space="preserve">1. Open the Agents page.
2. Select All.
3. Select My Agents.
4. Select Public Agents.
5. Select Shared Agents.
6. Verify each selected scope becomes active and its request succeeds.</t>
  </si>
  <si>
    <t>Every recorded Agent scope becomes active and loads without an API or page error.</t>
  </si>
  <si>
    <t xml:space="preserve">{
  "scopes": [
    "All",
    "My Agents",
    "Public Agents",
    "Shared Agents"
  ]
}</t>
  </si>
  <si>
    <t>flow, agents, scope, filter</t>
  </si>
  <si>
    <t>AF-004</t>
  </si>
  <si>
    <t>Sort agents by every recorded option</t>
  </si>
  <si>
    <t>Verify ascending, descending and last-modified ordering.</t>
  </si>
  <si>
    <t xml:space="preserve">1. A valid authenticated June session is available.
2. The active scope contains at least two visible agents.</t>
  </si>
  <si>
    <t xml:space="preserve">1. Open the Agents page.
2. Sort by Ascending.
3. Capture the ascending agent names.
4. Sort by Descending.
5. Verify the names are in reverse order.
6. Sort by Last Modified.</t>
  </si>
  <si>
    <t>All three sort choices apply without losing agents and descending reverses the ascending name order.</t>
  </si>
  <si>
    <t xml:space="preserve">{
  "sortOptions": [
    "Ascending",
    "Descending",
    "Last Modified"
  ]
}</t>
  </si>
  <si>
    <t>flow, agents, sort, regression</t>
  </si>
  <si>
    <t>AF-005</t>
  </si>
  <si>
    <t>Navigate through New Chat, Search Chats and Exchange</t>
  </si>
  <si>
    <t>Verify primary sidebar destinations without sending a chat message.</t>
  </si>
  <si>
    <t xml:space="preserve">1. Open the Agents page.
2. Open New Chat.
3. Enter the configured unsent chat draft.
4. Open Search Chats.
5. Search the Agents chat tab with the configured value.
6. Close Search Chats.
7. Open Exchange.
8. Return to Agents.</t>
  </si>
  <si>
    <t>Each destination displays its recorded controls, the draft is not submitted, and the Agents page can be reopened.</t>
  </si>
  <si>
    <t xml:space="preserve">{
  "chatDraft": "Hello",
  "chatSearch": "s",
  "exchangeSearchPlaceholder": "Search exchange agents..."
}</t>
  </si>
  <si>
    <t>flow, agents, navigation, chat, exchange</t>
  </si>
  <si>
    <t>AF-006</t>
  </si>
  <si>
    <t>Agent creation form</t>
  </si>
  <si>
    <t>Show every Agent field, tab and live length constraint</t>
  </si>
  <si>
    <t>Verify the recorded creation controls and live maximum lengths.</t>
  </si>
  <si>
    <t xml:space="preserve">1. Open Create Agent.
2. Verify Name, Model, Description and Initial Prompt controls.
3. Verify the current Create action is available.
4. Verify Information, Instructions, Tools, Connectors, Swarm, Knowledge, Guardrail, UI Component and Access tabs.
5. Verify Name accepts at most 100 characters.
6. Verify Description accepts at most 1000 characters.
7. Verify Initial Prompt accepts at most 100 characters.
8. Cancel the draft.</t>
  </si>
  <si>
    <t>All recorded fields and tabs are available and expose the 100, 1000 and 100 character live limits.</t>
  </si>
  <si>
    <t xml:space="preserve">{
  "tabs": [
    "Information",
    "Instructions",
    "Tools",
    "Connectors",
    "Swarm",
    "Knowledge",
    "Guardrail",
    "UI Component",
    "Access"
  ],
  "requiredFields": [
    "Name",
    "Model",
    "Description",
    "Initial Prompt"
  ],
  "nameMaxLength": 100,
  "descriptionMaxLength": 1000,
  "initialPromptMaxLength": 100
}</t>
  </si>
  <si>
    <t>flow, agents, create, form, constraints</t>
  </si>
  <si>
    <t>AF-007</t>
  </si>
  <si>
    <t>Validate the model and select the recorded country</t>
  </si>
  <si>
    <t>Verify a missing model blocks creation and GPT o3-mini plus the configured country can be selected.</t>
  </si>
  <si>
    <t xml:space="preserve">1. Open Create Agent.
2. Leave Model unselected and attempt to create the Agent.
3. Verify Information remains active.
4. Open the model selector.
5. Select GPT o3-mini.
6. Open the country selector.
7. Select the configured country.
8. Cancel the draft.</t>
  </si>
  <si>
    <t>A missing Model blocks progression and GPT o3-mini plus the configured country remain selected until cancellation.</t>
  </si>
  <si>
    <t xml:space="preserve">{
  "model": "{{MODEL}}",
  "country": "{{COUNTRY}}",
  "providers": [
    "OpenAI",
    "Claude",
    "Grok",
    "Bedrock"
  ],
  "openAiModels": [
    "GPT 4o",
    "GPT 4o mini",
    "GPT o1",
    "GPT o3",
    "GPT o3-mini",
    "GPT o4-mini"
  ]
}</t>
  </si>
  <si>
    <t>flow, agents, model, country, positive</t>
  </si>
  <si>
    <t>AF-008</t>
  </si>
  <si>
    <t>Agent creation validation</t>
  </si>
  <si>
    <t>Reject a missing Agent name</t>
  </si>
  <si>
    <t>Verify Name is required before an Agent can be created.</t>
  </si>
  <si>
    <t xml:space="preserve">1. Open Create Agent.
2. Leave Name empty.
3. Select the configured model and country.
4. Enter a valid Description.
5. Enter a valid Initial Prompt.
6. Choose Create.</t>
  </si>
  <si>
    <t>A missing Name is rejected and the wizard cannot advance from Information.</t>
  </si>
  <si>
    <t xml:space="preserve">{
  "name": "",
  "description": "{{CREATED_DESCRIPTION}}",
  "initialPrompt": "{{INITIAL_PROMPT}}",
  "model": "{{MODEL}}",
  "country": "{{COUNTRY}}"
}</t>
  </si>
  <si>
    <t>flow, negative, agents, validation, required-name</t>
  </si>
  <si>
    <t>AF-009</t>
  </si>
  <si>
    <t>Reject a missing Agent description</t>
  </si>
  <si>
    <t>Verify Description is required before an Agent can be created.</t>
  </si>
  <si>
    <t xml:space="preserve">1. Open Create Agent.
2. Enter a valid draft Name.
3. Select the configured model and country.
4. Leave Description empty.
5. Enter a valid Initial Prompt.
6. Choose Create.</t>
  </si>
  <si>
    <t>A missing Description is rejected and the wizard cannot advance from Information.</t>
  </si>
  <si>
    <t xml:space="preserve">{
  "name": "{{DRAFT_NAME}}",
  "description": "",
  "initialPrompt": "{{INITIAL_PROMPT}}",
  "model": "{{MODEL}}",
  "country": "{{COUNTRY}}"
}</t>
  </si>
  <si>
    <t>flow, negative, agents, validation, required-description</t>
  </si>
  <si>
    <t>AF-010</t>
  </si>
  <si>
    <t>Reject whitespace-only Agent basics</t>
  </si>
  <si>
    <t>Verify required text is trimmed before validation.</t>
  </si>
  <si>
    <t xml:space="preserve">1. Open Create Agent.
2. Enter spaces in Name.
3. Enter spaces in Description.
4. Enter spaces in Initial Prompt.
5. Select the configured model and country.
6. Inspect native validity without submitting an unsafe blank-name record.</t>
  </si>
  <si>
    <t>Whitespace-only Name, Description and Initial Prompt values are rejected and no Agent is created.</t>
  </si>
  <si>
    <t xml:space="preserve">{
  "whitespaceName": "   ",
  "whitespaceDescription": "   ",
  "whitespaceInitialPrompt": "   ",
  "model": "{{MODEL}}",
  "country": "{{COUNTRY}}"
}</t>
  </si>
  <si>
    <t>flow, negative, agents, validation, whitespace</t>
  </si>
  <si>
    <t>AF-011</t>
  </si>
  <si>
    <t>Enforce the 100-character Agent name boundary</t>
  </si>
  <si>
    <t>Verify the exact live boundary for Agent Name.</t>
  </si>
  <si>
    <t xml:space="preserve">1. Open Create Agent.
2. Enter exactly 100 characters in Name.
3. Verify all 100 characters are retained.
4. Attempt to enter a 101st character.
5. Verify the 101st character is rejected.
6. Cancel the draft.</t>
  </si>
  <si>
    <t>Name accepts exactly 100 characters and rejects the 101st character.</t>
  </si>
  <si>
    <t xml:space="preserve">{
  "maxLength": 100,
  "boundaryCharacter": "n",
  "overflowCharacter": "x"
}</t>
  </si>
  <si>
    <t>flow, agents, boundary, name, validation</t>
  </si>
  <si>
    <t>AF-012</t>
  </si>
  <si>
    <t>Enforce the 1000-character Agent description boundary</t>
  </si>
  <si>
    <t>Verify the exact live boundary for Agent Description.</t>
  </si>
  <si>
    <t xml:space="preserve">1. Open Create Agent.
2. Enter exactly 1000 characters in Description.
3. Verify all 1000 characters are retained.
4. Attempt to enter a 1001st character.
5. Verify the 1001st character is rejected.
6. Cancel the draft.</t>
  </si>
  <si>
    <t>Description accepts exactly 1000 characters and rejects the 1001st character.</t>
  </si>
  <si>
    <t xml:space="preserve">{
  "maxLength": 1000,
  "boundaryCharacter": "d",
  "overflowCharacter": "x"
}</t>
  </si>
  <si>
    <t>flow, agents, boundary, description, validation</t>
  </si>
  <si>
    <t>AF-013</t>
  </si>
  <si>
    <t>Enforce the 100-character Initial Prompt boundary</t>
  </si>
  <si>
    <t>Verify the exact live boundary for Initial Prompt.</t>
  </si>
  <si>
    <t xml:space="preserve">1. Open Create Agent.
2. Enter valid Name and Description values.
3. Select the configured model and country.
4. Enter exactly 100 characters in Initial Prompt.
5. Verify all 100 characters are retained.
6. Attempt to enter a 101st character.
7. Verify the 101st character is rejected.
8. Cancel the draft.</t>
  </si>
  <si>
    <t>Initial Prompt accepts exactly 100 characters and rejects the 101st character.</t>
  </si>
  <si>
    <t xml:space="preserve">{
  "maxLength": 100,
  "boundaryCharacter": "p",
  "overflowCharacter": "x"
}</t>
  </si>
  <si>
    <t>flow, agents, boundary, initial-prompt, validation</t>
  </si>
  <si>
    <t>AF-014</t>
  </si>
  <si>
    <t>Agent wizard</t>
  </si>
  <si>
    <t>Preserve Agent values across tabs and Back or Next</t>
  </si>
  <si>
    <t>Verify valid Information, Initial Prompt and Instructions survive navigation.</t>
  </si>
  <si>
    <t xml:space="preserve">1. Enter valid Information values including Initial Prompt.
2. Choose Next to open Instructions.
3. Enter the configured Instructions.
4. Navigate forward through the wizard tabs.
5. Navigate back to Instructions and Information.
6. Verify every entered value.
7. Cancel the draft.</t>
  </si>
  <si>
    <t>Information, Initial Prompt and Instructions remain unchanged across forward and backward wizard navigation.</t>
  </si>
  <si>
    <t xml:space="preserve">{
  "initialPrompt": "{{INITIAL_PROMPT}}",
  "instructions": "{{INSTRUCTIONS}}"
}</t>
  </si>
  <si>
    <t>flow, positive, agents, wizard, data-integrity</t>
  </si>
  <si>
    <t>AF-015</t>
  </si>
  <si>
    <t>Agent resources</t>
  </si>
  <si>
    <t>Exercise every Agent resource tab without selecting live data</t>
  </si>
  <si>
    <t>Verify resource tabs and unmatched searches without attaching unrelated business records.</t>
  </si>
  <si>
    <t xml:space="preserve">1. Enter valid Agent information.
2. Open Tools.
3. Open Connectors.
4. Open Swarm.
5. Open Knowledge.
6. Open Guardrail.
7. Open UI Component.
8. Search each searchable resource with the configured unmatched value.
9. Verify no unrelated resource is selected.
10. Cancel the draft.</t>
  </si>
  <si>
    <t>Every recorded resource tab opens and unmatched searches attach no live business resource.</t>
  </si>
  <si>
    <t xml:space="preserve">{
  "resourceTabs": [
    "Tools",
    "Connectors",
    "Swarm",
    "Knowledge",
    "Guardrail",
    "UI Component"
  ],
  "resourceSearch": "qa-resource-does-not-exist"
}</t>
  </si>
  <si>
    <t>flow, agents, resources, tools, connectors, guardrails</t>
  </si>
  <si>
    <t>AF-016</t>
  </si>
  <si>
    <t>Agent access</t>
  </si>
  <si>
    <t>Validate User and Public Agent access modes</t>
  </si>
  <si>
    <t>Verify both access modes and an unmatched employee search.</t>
  </si>
  <si>
    <t xml:space="preserve">1. Enter valid Agent information.
2. Open Access.
3. Select User.
4. Search with the configured unmatched employee email.
5. Verify Selected Users remains zero.
6. Select Public.
7. Verify Public becomes active.
8. Return to User and cancel the draft.</t>
  </si>
  <si>
    <t>User and Public access modes activate correctly and an unmatched employee search selects nobody.</t>
  </si>
  <si>
    <t xml:space="preserve">{
  "accessModes": [
    "User",
    "Public"
  ],
  "userTab": "User",
  "publicTab": "Public",
  "accessSearch": "qa-employee-does-not-exist@example.invalid",
  "selectedUsersText": "Selected Users (0)"
}</t>
  </si>
  <si>
    <t>flow, agents, access, user, public</t>
  </si>
  <si>
    <t>AF-017</t>
  </si>
  <si>
    <t>Agent cancellation</t>
  </si>
  <si>
    <t>Cancel an Agent draft without persistence</t>
  </si>
  <si>
    <t>Verify a uniquely named valid draft creates no Agent.</t>
  </si>
  <si>
    <t xml:space="preserve">1. Open Create Agent.
2. Enter the unique configured draft values.
3. Choose Next to open Instructions.
4. Cancel the wizard.
5. Search for the exact draft name.</t>
  </si>
  <si>
    <t>The cancelled Agent draft is absent from the Agent list.</t>
  </si>
  <si>
    <t>flow, agents, cancel, persistence</t>
  </si>
  <si>
    <t>AF-018</t>
  </si>
  <si>
    <t>Agent input security</t>
  </si>
  <si>
    <t>Escape XSS payloads in Agent draft fields</t>
  </si>
  <si>
    <t>Verify unsaved Agent text is rendered as data and does not execute script.</t>
  </si>
  <si>
    <t xml:space="preserve">1. Open Create Agent.
2. Enter the configured XSS marker in each recorded free-text draft field.
3. Navigate between wizard tabs.
4. Verify the execution marker is unset.
5. Cancel the draft.</t>
  </si>
  <si>
    <t>The XSS marker never executes and cancelling the draft persists no payload.</t>
  </si>
  <si>
    <t xml:space="preserve">{
  "xssPayload": "{{XSS_MARKER}}",
  "draftFields": [
    "Name",
    "Description",
    "Initial Prompt",
    "Instructions"
  ]
}</t>
  </si>
  <si>
    <t>Stored and reflected XSS prevention</t>
  </si>
  <si>
    <t>OWASP A03:2021 Injection</t>
  </si>
  <si>
    <t>flow, security, agents, xss, input</t>
  </si>
  <si>
    <t>AF-019</t>
  </si>
  <si>
    <t>Agent creation</t>
  </si>
  <si>
    <t>Create a date-time-stamped synthetic Agent</t>
  </si>
  <si>
    <t>Create one traceable Agent using the configured run timestamp and safe resources.</t>
  </si>
  <si>
    <t xml:space="preserve">1. A valid authenticated June session is available.
2. The selected QA business permits Agent creation.</t>
  </si>
  <si>
    <t xml:space="preserve">1. Open Create Agent.
2. Enter the date-time-stamped Name and Description.
3. Select GPT o3-mini and the configured country.
4. Enter the configured Initial Prompt.
5. Generate Agent details.
6. Enter the configured Instructions.
7. Leave unrelated live resources unselected.
8. Select User access.
9. Create the Agent.
10. Search for the exact generated name.</t>
  </si>
  <si>
    <t>Exactly one date-time-stamped synthetic Agent is created and visible in the active business.</t>
  </si>
  <si>
    <t xml:space="preserve">{
  "model": "{{MODEL}}",
  "country": "{{COUNTRY}}",
  "initialPrompt": "{{INITIAL_PROMPT}}",
  "instructions": "{{INSTRUCTIONS}}",
  "accessMode": "User",
  "createButton": "Create"
}</t>
  </si>
  <si>
    <t>flow, write, agents, create, date-time</t>
  </si>
  <si>
    <t>AF-020</t>
  </si>
  <si>
    <t>Agent creation verification</t>
  </si>
  <si>
    <t>Verify every persisted Agent creation value</t>
  </si>
  <si>
    <t>Reopen the synthetic Agent and compare persisted values with Excel-driven input.</t>
  </si>
  <si>
    <t>1. AF-019 created the synthetic Agent in this run.</t>
  </si>
  <si>
    <t xml:space="preserve">1. Open the exact synthetic Agent action menu.
2. Choose Edit Agent.
3. Verify Name, Description, Model and Country.
4. Verify Initial Prompt and Instructions.
5. Verify no unrelated resource is selected.
6. Verify User access is active.
7. Cancel without changing data.</t>
  </si>
  <si>
    <t>Every configured creation value is persisted exactly and no unrelated resource or user is attached.</t>
  </si>
  <si>
    <t xml:space="preserve">{
  "model": "{{MODEL}}",
  "country": "{{COUNTRY}}",
  "accessMode": "User"
}</t>
  </si>
  <si>
    <t>flow, agents, verify, persistence, date-time</t>
  </si>
  <si>
    <t>AF-021</t>
  </si>
  <si>
    <t>Agent edit validation</t>
  </si>
  <si>
    <t>Validate required Agent fields while editing</t>
  </si>
  <si>
    <t>Verify required-field rules remain enforced for the persisted Agent.</t>
  </si>
  <si>
    <t xml:space="preserve">1. Open Edit Agent for the exact synthetic Agent.
2. Clear Name and attempt to update.
3. Restore Name.
4. Clear Description and attempt to update.
5. Restore Description.
6. Clear Initial Prompt and attempt to update.
7. Try whitespace-only Name, Description and Initial Prompt.
8. Restore every original value.</t>
  </si>
  <si>
    <t>Empty and whitespace-only Name, Description and Initial Prompt edits are rejected and the persisted Agent remains unchanged.</t>
  </si>
  <si>
    <t xml:space="preserve">{
  "invalidEdits": [
    {
      "label": "name is empty",
      "name": "",
      "description": "{{CREATED_DESCRIPTION}}",
      "initialPrompt": "{{INITIAL_PROMPT}}"
    },
    {
      "label": "description is empty",
      "name": "{{AGENT_NAME}}",
      "description": "",
      "initialPrompt": "{{INITIAL_PROMPT}}"
    },
    {
      "label": "initial prompt is empty",
      "name": "{{AGENT_NAME}}",
      "description": "{{CREATED_DESCRIPTION}}",
      "initialPrompt": ""
    },
    {
      "label": "required text is whitespace only",
      "name": "   ",
      "description": "   ",
      "initialPrompt": "   "
    }
  ],
  "updateButton": "Update"
}</t>
  </si>
  <si>
    <t>flow, negative, agents, edit, validation</t>
  </si>
  <si>
    <t>AF-022</t>
  </si>
  <si>
    <t>Agent update</t>
  </si>
  <si>
    <t>Rename and update the synthetic Agent with date and time</t>
  </si>
  <si>
    <t>Update the run-owned Agent with traceable date-time-stamped values.</t>
  </si>
  <si>
    <t xml:space="preserve">1. Open Edit Agent for the exact synthetic Agent.
2. Replace Name and Description with the configured update values.
3. Keep GPT o3-mini and the configured country selected.
4. Replace Initial Prompt and Instructions with the configured update values.
5. Update the Agent.
6. Search for the exact updated name.</t>
  </si>
  <si>
    <t>The Agent is renamed once and the updated date-time-stamped values are saved under the same record.</t>
  </si>
  <si>
    <t xml:space="preserve">{
  "updatedInitialPrompt": "{{UPDATED_INITIAL_PROMPT}}",
  "updatedInstructions": "{{UPDATED_INSTRUCTIONS}}",
  "model": "{{MODEL}}",
  "country": "{{COUNTRY}}",
  "updateButton": "Update"
}</t>
  </si>
  <si>
    <t>flow, write, agents, update, date-time</t>
  </si>
  <si>
    <t>AF-023</t>
  </si>
  <si>
    <t>Agent update verification</t>
  </si>
  <si>
    <t>Verify every persisted Agent update</t>
  </si>
  <si>
    <t>Reopen the updated Agent and verify all updated and retained values.</t>
  </si>
  <si>
    <t>1. AF-022 updated the synthetic Agent in this run.</t>
  </si>
  <si>
    <t xml:space="preserve">1. Open Edit Agent for the exact updated Agent.
2. Verify updated Name and Description.
3. Verify GPT o3-mini and Country remain selected.
4. Verify updated Initial Prompt and Instructions.
5. Verify User access and empty unrelated resources remain unchanged.
6. Cancel without changing data.</t>
  </si>
  <si>
    <t>All updated values persist exactly while model, country, access and unselected resource state remain intact.</t>
  </si>
  <si>
    <t>flow, agents, verify, update, data-integrity</t>
  </si>
  <si>
    <t>AF-024</t>
  </si>
  <si>
    <t>Agent discovery and actions</t>
  </si>
  <si>
    <t>Find the updated Agent and restrict its card actions</t>
  </si>
  <si>
    <t>Verify exact-name discovery and the recorded safe action allowlist.</t>
  </si>
  <si>
    <t xml:space="preserve">1. Search for the exact updated Agent name.
2. Verify exactly one matching Agent card.
3. Open its action menu.
4. Verify Edit Agent and Delete are available.
5. Close the menu without changing data.</t>
  </si>
  <si>
    <t>Exact search returns only the updated Agent and its action menu contains Edit Agent and Delete.</t>
  </si>
  <si>
    <t xml:space="preserve">{
  "expectedMenuItems": [
    "Edit Agent",
    "Delete"
  ]
}</t>
  </si>
  <si>
    <t>flow, agents, search, actions, regression</t>
  </si>
  <si>
    <t>AF-025</t>
  </si>
  <si>
    <t>Agent search security</t>
  </si>
  <si>
    <t>Handle injection-shaped Agent searches safely</t>
  </si>
  <si>
    <t>Verify SQL, NoSQL and XSS-shaped list searches remain inert.</t>
  </si>
  <si>
    <t xml:space="preserve">1. Open the Agents page.
2. Enter each configured injection-shaped value in Search agents.
3. Verify the page remains responsive.
4. Verify no script execution marker is set.
5. Clear search and verify normal controls return.</t>
  </si>
  <si>
    <t>Injection-shaped searches execute no code, expose no error details and do not corrupt the Agent list.</t>
  </si>
  <si>
    <t xml:space="preserve">{
  "searchPayloads": [
    "{{SQL_INJECTION_MARKER}}",
    "{\"$ne\":null}",
    "{{XSS_MARKER}}"
  ]
}</t>
  </si>
  <si>
    <t>Search input injection prevention</t>
  </si>
  <si>
    <t>flow, security, agents, search, injection</t>
  </si>
  <si>
    <t>AF-026</t>
  </si>
  <si>
    <t>Agent data protection</t>
  </si>
  <si>
    <t>Keep synthetic Agent secrets out of URLs and closed DOM</t>
  </si>
  <si>
    <t>Verify sensitive-shaped draft text is removed when the wizard closes.</t>
  </si>
  <si>
    <t xml:space="preserve">1. Open Create Agent.
2. Enter the configured synthetic secret in a draft text field.
3. Verify the browser URL does not contain the synthetic secret.
4. Cancel the draft.
5. Verify the closed DOM does not contain the synthetic secret.</t>
  </si>
  <si>
    <t>The synthetic secret never appears in the URL and is absent from the DOM after the draft closes.</t>
  </si>
  <si>
    <t xml:space="preserve">{
  "secretValue": "{{SYNTHETIC_SECRET_PREFIX}}-{{RUN_COMPACT}}"
}</t>
  </si>
  <si>
    <t>Sensitive data exposure prevention</t>
  </si>
  <si>
    <t>OWASP A02:2021 Cryptographic Failures</t>
  </si>
  <si>
    <t>flow, security, agents, secret, data-protection</t>
  </si>
  <si>
    <t>AF-027</t>
  </si>
  <si>
    <t>Agent access security</t>
  </si>
  <si>
    <t>Prevent access-search injection from selecting users</t>
  </si>
  <si>
    <t>Verify injection-shaped employee search cannot grant Agent access.</t>
  </si>
  <si>
    <t xml:space="preserve">1. Enter valid Agent information.
2. Open Access and select User.
3. Enter the configured injection-shaped employee search.
4. Verify Selected Users remains zero.
5. Cancel the draft.</t>
  </si>
  <si>
    <t>The access search selects no user, grants no permission and persists no access change.</t>
  </si>
  <si>
    <t xml:space="preserve">{
  "accessSearch": "{{SQL_INJECTION_MARKER}}",
  "selectedUsersText": "Selected Users (0)"
}</t>
  </si>
  <si>
    <t>Authorization and access-search integrity</t>
  </si>
  <si>
    <t>OWASP A01:2021 Broken Access Control</t>
  </si>
  <si>
    <t>flow, security, agents, access, authorization</t>
  </si>
  <si>
    <t>AF-028</t>
  </si>
  <si>
    <t>Agent transport security</t>
  </si>
  <si>
    <t>Return baseline browser security headers for Agents</t>
  </si>
  <si>
    <t>Verify transport, framing and MIME-sniffing protections on the Agents response.</t>
  </si>
  <si>
    <t>1. The Agents URL is reachable over HTTPS.</t>
  </si>
  <si>
    <t xml:space="preserve">1. Request the Agents page.
2. Verify Strict-Transport-Security is present.
3. Verify Content-Security-Policy is present.
4. Verify framing is restricted by policy or X-Frame-Options.
5. Verify X-Content-Type-Options is nosniff.</t>
  </si>
  <si>
    <t>The Agents response includes the configured transport, content, framing and MIME-sniffing protections.</t>
  </si>
  <si>
    <t xml:space="preserve">{
  "requiredHeaders": [
    "strict-transport-security",
    "content-security-policy"
  ],
  "frameHeaders": [
    "content-security-policy",
    "x-frame-options"
  ],
  "contentTypeOptions": "nosniff"
}</t>
  </si>
  <si>
    <t>HTTP response hardening</t>
  </si>
  <si>
    <t>OWASP A05:2021 Security Misconfiguration</t>
  </si>
  <si>
    <t>flow, security, agents, headers, transport</t>
  </si>
  <si>
    <t>AF-029</t>
  </si>
  <si>
    <t>Agent authentication security</t>
  </si>
  <si>
    <t>Block anonymous access to Agent controls</t>
  </si>
  <si>
    <t>Verify an empty browser context cannot use authenticated Agent controls.</t>
  </si>
  <si>
    <t>1. A browser context without saved authentication is available.</t>
  </si>
  <si>
    <t xml:space="preserve">1. Open the configured Agents path without storage state.
2. Wait for authentication handling to complete.
3. Verify authenticated Agents list controls are unavailable.
4. Verify Create Agent cannot be used.</t>
  </si>
  <si>
    <t>Anonymous access is redirected, challenged or denied and exposes no usable Agent search or creation control.</t>
  </si>
  <si>
    <t xml:space="preserve">{
  "agentsPath": "/agents",
  "searchPlaceholder": "Search agents...",
  "createButton": "Create Agent"
}</t>
  </si>
  <si>
    <t>Authentication enforcement</t>
  </si>
  <si>
    <t>OWASP A07:2021 Identification and Authentication Failures</t>
  </si>
  <si>
    <t>flow, security, agents, authentication, anonymous</t>
  </si>
  <si>
    <t>AF-030</t>
  </si>
  <si>
    <t>Agent cleanup</t>
  </si>
  <si>
    <t>Cancel then confirm deletion of the synthetic Agent</t>
  </si>
  <si>
    <t>Verify deletion cancellation is safe before removing only the run-owned Agent.</t>
  </si>
  <si>
    <t xml:space="preserve">1. AF-022 updated the synthetic Agent in this run.
2. The exact updated Agent name is available.</t>
  </si>
  <si>
    <t xml:space="preserve">1. Search for the exact updated Agent name.
2. Open Delete from its action menu.
3. Cancel deletion.
4. Verify the exact Agent remains visible.
5. Open Delete again.
6. Confirm deletion.
7. Search for the exact updated Agent name.</t>
  </si>
  <si>
    <t>Cancellation preserves the Agent, confirmation removes only the exact run-owned Agent, and exact search returns no match.</t>
  </si>
  <si>
    <t xml:space="preserve">{
  "cancelButton": "Cancel",
  "deleteButton": "Delete"
}</t>
  </si>
  <si>
    <t>flow, write, agents, delete, cleanup</t>
  </si>
  <si>
    <t>TL-001</t>
  </si>
  <si>
    <t>Tool navigation</t>
  </si>
  <si>
    <t>Open the Tools module</t>
  </si>
  <si>
    <t>Verify authenticated entry to the Tools module independently.</t>
  </si>
  <si>
    <t xml:space="preserve">1. Open the Tools module.
2. Verify the Tools URL, heading, search field and Create Tool action.</t>
  </si>
  <si>
    <t>The Tools page opens in the authenticated business and is ready for interaction.</t>
  </si>
  <si>
    <t>flow, smoke, tools, navigation</t>
  </si>
  <si>
    <t>tools-data-driven.xlsx</t>
  </si>
  <si>
    <t>TL-002</t>
  </si>
  <si>
    <t>Tool discovery</t>
  </si>
  <si>
    <t>Search, filter and change the Tools layout</t>
  </si>
  <si>
    <t>Verify every recorded discovery control against live business data.</t>
  </si>
  <si>
    <t xml:space="preserve">1. A valid authenticated June session is available.
2. The active business contains at least one visible tool.</t>
  </si>
  <si>
    <t xml:space="preserve">1. Search using a visible tool name and clear the search.
2. Select My Tools, Shared Tools and All.
3. Apply Today, Yesterday, Past 7 days and Last Month.
4. Switch between both layout modes.</t>
  </si>
  <si>
    <t>Search, scope, date filters and both layouts work without losing the Tools context.</t>
  </si>
  <si>
    <t xml:space="preserve">{
  "scopes": [
    "My Tools",
    "Shared Tools",
    "All"
  ],
  "dateFilters": [
    "Today",
    "Yesterday",
    "Past 7 days",
    "Last Month"
  ],
  "viewIndexes": [
    1,
    0
  ]
}</t>
  </si>
  <si>
    <t>flow, regression, tools, search, filter, layout</t>
  </si>
  <si>
    <t>TL-003</t>
  </si>
  <si>
    <t>Tool creation validation</t>
  </si>
  <si>
    <t>Validate every required Information field</t>
  </si>
  <si>
    <t>Check empty, individually missing and whitespace-only Information values.</t>
  </si>
  <si>
    <t xml:space="preserve">1. Open Create Tool.
2. Try Next with all Information fields empty.
3. Try Next with name, purpose and keywords missing one at a time.
4. Try Next with whitespace-only values.
5. Enter all valid values and continue.</t>
  </si>
  <si>
    <t>Invalid Information combinations remain on Information; valid name, purpose and keywords advance to API Details.</t>
  </si>
  <si>
    <t xml:space="preserve">{
  "invalidInformation": [
    {
      "label": "all fields empty",
      "name": "",
      "purpose": "",
      "keywords": ""
    },
    {
      "label": "name missing",
      "name": "",
      "purpose": "{{CREATED_PURPOSE}}",
      "keywords": "{{CREATED_KEYWORDS}}"
    },
    {
      "label": "purpose missing",
      "name": "{{DRAFT_NAME}}",
      "purpose": "",
      "keywords": "{{CREATED_KEYWORDS}}"
    },
    {
      "label": "keywords missing",
      "name": "{{DRAFT_NAME}}",
      "purpose": "{{CREATED_PURPOSE}}",
      "keywords": ""
    },
    {
      "label": "whitespace only",
      "name": "   ",
      "purpose": "   ",
      "keywords": "   "
    }
  ]
}</t>
  </si>
  <si>
    <t>flow, tools, create, validation, required-fields</t>
  </si>
  <si>
    <t>TL-004</t>
  </si>
  <si>
    <t>Enforce the 300-character keyword boundary</t>
  </si>
  <si>
    <t>Verify the documented Bot Keywords counter at its maximum and just above it.</t>
  </si>
  <si>
    <t xml:space="preserve">1. Enter exactly 300 keyword characters.
2. Verify the stored value and 300/300 counter.
3. Attempt to enter 301 characters.
4. Verify the field remains limited to 300 characters.</t>
  </si>
  <si>
    <t>Exactly 300 characters are accepted and the 301st character is rejected.</t>
  </si>
  <si>
    <t xml:space="preserve">{
  "maximumLength": 300,
  "boundaryCharacter": "k",
  "overflowCharacter": "x"
}</t>
  </si>
  <si>
    <t>flow, tools, create, validation, boundary</t>
  </si>
  <si>
    <t>TL-005</t>
  </si>
  <si>
    <t>Tool API validation</t>
  </si>
  <si>
    <t>Reject empty, whitespace and malformed endpoint URLs</t>
  </si>
  <si>
    <t>Verify required and URL-format validation for the endpoint.</t>
  </si>
  <si>
    <t xml:space="preserve">1. Prepare otherwise-valid Information, payload and generated schema.
2. Try Next with an empty endpoint.
3. Try Next with a whitespace-only endpoint.
4. Try Next with text that is not a URL.</t>
  </si>
  <si>
    <t>Every invalid endpoint remains on API Details and cannot advance to Access.</t>
  </si>
  <si>
    <t xml:space="preserve">{
  "invalidEndpoints": [
    "",
    "   ",
    "not-a-valid-url"
  ]
}</t>
  </si>
  <si>
    <t>Endpoint validation</t>
  </si>
  <si>
    <t>OWASP A10:2021 Server-Side Request Forgery</t>
  </si>
  <si>
    <t>flow, tools, api, endpoint, validation, negative</t>
  </si>
  <si>
    <t>TL-006</t>
  </si>
  <si>
    <t>Reject malformed Header JSON</t>
  </si>
  <si>
    <t>Verify that the JSON-labelled request-header field parses valid JSON.</t>
  </si>
  <si>
    <t xml:space="preserve">1. Prepare an otherwise-valid API definition and generated schema.
2. Replace Header JSON with malformed text.
3. Try to advance to Access.</t>
  </si>
  <si>
    <t>Malformed Header JSON is rejected and API Details remains active.</t>
  </si>
  <si>
    <t xml:space="preserve">{
  "invalidHeaderJson": "{invalid header"
}</t>
  </si>
  <si>
    <t>Injection and parser validation</t>
  </si>
  <si>
    <t>flow, tools, api, header, json, validation, negative</t>
  </si>
  <si>
    <t>TL-007</t>
  </si>
  <si>
    <t>Reject malformed Payload JSON</t>
  </si>
  <si>
    <t>Verify that the JSON-labelled request-payload field parses valid JSON.</t>
  </si>
  <si>
    <t xml:space="preserve">1. Prepare an otherwise-valid API definition and generated schema.
2. Replace Payload JSON with malformed text.
3. Try to advance to Access.</t>
  </si>
  <si>
    <t>Malformed Payload JSON is rejected and API Details remains active.</t>
  </si>
  <si>
    <t xml:space="preserve">{
  "invalidPayloadJson": "{invalid payload"
}</t>
  </si>
  <si>
    <t>flow, tools, api, payload, json, validation, negative</t>
  </si>
  <si>
    <t>TL-008</t>
  </si>
  <si>
    <t>Reject malformed Schema JSON and accept generated schema</t>
  </si>
  <si>
    <t>Verify successful schema generation followed by schema JSON validation.</t>
  </si>
  <si>
    <t xml:space="preserve">1. Generate schema from a valid JSON payload.
2. Parse the generated schema as JSON.
3. Replace Schema JSON with malformed text.
4. Try to advance to Access.</t>
  </si>
  <si>
    <t>Generated schema is valid JSON; malformed Schema JSON is rejected on API Details.</t>
  </si>
  <si>
    <t xml:space="preserve">{
  "invalidSchemaJson": "{invalid schema"
}</t>
  </si>
  <si>
    <t>flow, tools, api, schema, json, validation, negative</t>
  </si>
  <si>
    <t>TL-009</t>
  </si>
  <si>
    <t>Tool API configuration</t>
  </si>
  <si>
    <t>Exercise every HTTP method and payload format</t>
  </si>
  <si>
    <t>Verify every method and payload-format option recorded from the live form.</t>
  </si>
  <si>
    <t xml:space="preserve">1. Select GET, POST, PUT and DELETE.
2. Select JSON, XML, Form Data and Parameters.
3. Restore JSON and cancel the draft.</t>
  </si>
  <si>
    <t>Every HTTP method and payload format can be selected and is reflected by its control.</t>
  </si>
  <si>
    <t xml:space="preserve">{
  "methods": [
    "GET",
    "POST",
    "PUT",
    "DELETE"
  ],
  "payloadFormats": [
    "JSON",
    "XML",
    "Form Data",
    "Parameters"
  ],
  "finalPayloadFormat": "JSON"
}</t>
  </si>
  <si>
    <t>flow, regression, tools, api, method, payload-format</t>
  </si>
  <si>
    <t>TL-010</t>
  </si>
  <si>
    <t>Tool access and cancellation</t>
  </si>
  <si>
    <t>Validate Access controls and cancel without persistence</t>
  </si>
  <si>
    <t>Verify access search and owner details, then prove cancellation creates no tool.</t>
  </si>
  <si>
    <t xml:space="preserve">1. Enter a unique date-time-stamped draft name.
2. Open Access and exercise employee search.
3. Verify User Access and Owner.
4. Cancel the wizard.
5. Search for the draft name.</t>
  </si>
  <si>
    <t>Access controls are visible and the cancelled draft does not appear in the Tools list.</t>
  </si>
  <si>
    <t xml:space="preserve">{
  "employeeSearch": "s"
}</t>
  </si>
  <si>
    <t>flow, tools, access, cancel, validation</t>
  </si>
  <si>
    <t>TL-011</t>
  </si>
  <si>
    <t>Tool creation</t>
  </si>
  <si>
    <t>Create date-time-stamped tools in My Account and subscribed HCL</t>
  </si>
  <si>
    <t>Run one shared, Excel-driven creation flow with context-specific data in My Account and HCL INFOTECH LIMITED.</t>
  </si>
  <si>
    <t xml:space="preserve">1. A valid authenticated June session is available.
2. My Account and the subscribed HCL business permit creation of QA tools that remain after the run.</t>
  </si>
  <si>
    <t xml:space="preserve">1. Select and assert My Account before opening Tools.
2. Create a unique context-owned tool through Information, Endpoint, Header, Body and Access.
3. Assert the exact My Account tool card.
4. Switch to and assert HCL INFOTECH LIMITED.
5. Repeat the same flow with a distinct HCL-owned name and payload.
6. Restore and assert My Account.</t>
  </si>
  <si>
    <t>One unique date-time-stamped tool is created in each correct account, both exact cards are visible, and My Account is restored.</t>
  </si>
  <si>
    <t xml:space="preserve">{
  "contexts": [
    "myAccount",
    "subscribedBusiness"
  ],
  "createButton": "Create Tool"
}</t>
  </si>
  <si>
    <t>flow, write, tools, create, date-time, account-context, business-switch</t>
  </si>
  <si>
    <t>TL-012</t>
  </si>
  <si>
    <t>Tool creation verification</t>
  </si>
  <si>
    <t>Verify persisted creation values in My Account and subscribed HCL</t>
  </si>
  <si>
    <t>Reopen each account-owned tool and compare every Information, API and Access value.</t>
  </si>
  <si>
    <t>1. TL-011 created one context-specific tool in My Account and one in subscribed HCL.</t>
  </si>
  <si>
    <t xml:space="preserve">1. Enter and assert each account context before opening Tools.
2. Find and edit the exact context-owned tool.
3. Verify name, context purpose and keywords.
4. Verify endpoint, GET, JSON, header, context payload and generated schema properties.
5. Verify Access labels, zero selected users and Owner.
6. Cancel without changing data and restore My Account.</t>
  </si>
  <si>
    <t>Every value saved during creation persists in the correct account with no cross-account data leakage, and My Account is restored.</t>
  </si>
  <si>
    <t xml:space="preserve">{
  "contexts": [
    "myAccount",
    "subscribedBusiness"
  ]
}</t>
  </si>
  <si>
    <t>flow, tools, create, persistence, verification, account-context, business-switch</t>
  </si>
  <si>
    <t>TL-013</t>
  </si>
  <si>
    <t>Tool edit validation</t>
  </si>
  <si>
    <t>Validate required edit fields in My Account and subscribed HCL</t>
  </si>
  <si>
    <t>Apply the same required Information checks to each account-owned tool without saving invalid data.</t>
  </si>
  <si>
    <t xml:space="preserve">1. Enter each account context and open its exact created tool.
2. Clear name, purpose and keywords one at a time using context-resolved Excel data.
3. Verify each invalid edit remains on Information.
4. Restore the correct context-owned values and continue to API Details.
5. Cancel, assert the exact card remains and restore My Account.</t>
  </si>
  <si>
    <t>Both account contexts block every missing required value, preserve their own tool after cancellation, and restore My Account.</t>
  </si>
  <si>
    <t xml:space="preserve">{
  "contexts": [
    "myAccount",
    "subscribedBusiness"
  ],
  "invalidEdits": [
    {
      "label": "name missing",
      "name": "",
      "purpose": "{{CREATED_PURPOSE}}",
      "keywords": "{{CREATED_KEYWORDS}}"
    },
    {
      "label": "purpose missing",
      "name": "{{TOOL_NAME}}",
      "purpose": "",
      "keywords": "{{CREATED_KEYWORDS}}"
    },
    {
      "label": "keywords missing",
      "name": "{{TOOL_NAME}}",
      "purpose": "{{CREATED_PURPOSE}}",
      "keywords": ""
    }
  ]
}</t>
  </si>
  <si>
    <t>flow, tools, edit, validation, required-fields, account-context, business-switch</t>
  </si>
  <si>
    <t>TL-014</t>
  </si>
  <si>
    <t>Tool update</t>
  </si>
  <si>
    <t>Update date-time-stamped tools in My Account and subscribed HCL</t>
  </si>
  <si>
    <t>Perform real context-specific updates using fresh timestamps and the redesigned API configuration steps.</t>
  </si>
  <si>
    <t xml:space="preserve">1. TL-011 created one context-specific tool in My Account and one in subscribed HCL.
2. Both account contexts permit updating their own QA tool.</t>
  </si>
  <si>
    <t xml:space="preserve">1. Enter each account context and open its exact created tool.
2. Replace purpose and keywords with context-specific update values.
3. Change the method from GET to POST.
4. Replace the payload with the context and update date and time.
5. Regenerate schema, verify Access and submit the update.
6. Assert the exact card in each account and restore My Account.</t>
  </si>
  <si>
    <t>Each update succeeds only in its selected account, both exact tool cards remain visible, and My Account is restored.</t>
  </si>
  <si>
    <t xml:space="preserve">{
  "contexts": [
    "myAccount",
    "subscribedBusiness"
  ],
  "updateButton": "Update Tool",
  "method": "POST",
  "payloadFormat": "JSON"
}</t>
  </si>
  <si>
    <t>flow, write, tools, edit, update, date-time, account-context, business-switch</t>
  </si>
  <si>
    <t>TL-015</t>
  </si>
  <si>
    <t>Tool update verification</t>
  </si>
  <si>
    <t>Verify updated values in My Account and subscribed HCL</t>
  </si>
  <si>
    <t>Reopen both updated tools and compare all changed and unchanged values inside the correct account.</t>
  </si>
  <si>
    <t>1. TL-014 updated both context-specific tools in the same run.</t>
  </si>
  <si>
    <t xml:space="preserve">1. Enter each account context and edit its exact updated tool.
2. Verify the context-specific updated purpose and keywords.
3. Verify endpoint, POST, JSON, header and the context update payload.
4. Verify generated schema properties and all Access assertions.
5. Cancel without another update and restore My Account.</t>
  </si>
  <si>
    <t>Every update persists exactly in its owning account, including POST, context payload and timestamp, with My Account restored.</t>
  </si>
  <si>
    <t xml:space="preserve">{
  "contexts": [
    "myAccount",
    "subscribedBusiness"
  ],
  "expectedMethod": "POST",
  "expectedPayloadFormat": "JSON"
}</t>
  </si>
  <si>
    <t>flow, tools, update, persistence, verification, account-context, business-switch</t>
  </si>
  <si>
    <t>TL-016</t>
  </si>
  <si>
    <t>Tool API positive validation</t>
  </si>
  <si>
    <t>Accept supported HTTPS endpoint formats</t>
  </si>
  <si>
    <t>Verify normal HTTPS endpoints with ports, paths and encoded query parameters.</t>
  </si>
  <si>
    <t xml:space="preserve">1. Prepare valid Information, JSON payload and generated schema.
2. Enter a normal HTTPS API path and advance to Access.
3. Enter an HTTPS endpoint with port, path and encoded query parameters.
4. Verify each supported endpoint advances to Access.
5. Cancel without creating another tool.</t>
  </si>
  <si>
    <t>Well-formed HTTPS endpoint variants are accepted without losing API data.</t>
  </si>
  <si>
    <t xml:space="preserve">{
  "endpoints": [
    "https://api.example.com/v1/tools",
    "https://api.example.com:443/v1/tools?run={{RUN_COMPACT}}"
  ]
}</t>
  </si>
  <si>
    <t>flow, positive, tools, api, endpoint</t>
  </si>
  <si>
    <t>TL-017</t>
  </si>
  <si>
    <t>Accept nested valid JSON and generate schema</t>
  </si>
  <si>
    <t>Verify objects, arrays, booleans, numbers and the run timestamp in a valid payload.</t>
  </si>
  <si>
    <t xml:space="preserve">1. Enter a nested valid JSON payload containing multiple data types.
2. Generate schema.
3. Parse and verify the generated schema.
4. Advance to Access and cancel.</t>
  </si>
  <si>
    <t>Nested valid JSON produces valid schema and advances to Access.</t>
  </si>
  <si>
    <t xml:space="preserve">{
  "nestedPayload": {
    "customer": {
      "id": "QA-{{RUN_COMPACT}}",
      "active": true,
      "score": 98.5
    },
    "items": [
      {
        "sku": "TOOLS-1",
        "quantity": 2
      },
      {
        "sku": "TOOLS-2",
        "quantity": 1
      }
    ],
    "metadata": {
      "runAt": "{{RUN_ISO}}",
      "nullable": null
    }
  }
}</t>
  </si>
  <si>
    <t>flow, positive, tools, api, json, schema</t>
  </si>
  <si>
    <t>TL-018</t>
  </si>
  <si>
    <t>Tool wizard positive validation</t>
  </si>
  <si>
    <t>Preserve valid values across Back and Next navigation</t>
  </si>
  <si>
    <t>Verify wizard navigation does not discard valid Information or API values.</t>
  </si>
  <si>
    <t xml:space="preserve">1. Enter valid Information and API values.
2. Generate schema.
3. Use Back to return to Information and verify all values.
4. Use Next to return to API Details and verify all values.
5. Advance to Access and cancel.</t>
  </si>
  <si>
    <t>All entered values remain unchanged across Back and Next navigation.</t>
  </si>
  <si>
    <t>flow, positive, tools, wizard, navigation, data-integrity</t>
  </si>
  <si>
    <t>TL-019</t>
  </si>
  <si>
    <t>Tool endpoint security</t>
  </si>
  <si>
    <t>Reject unsafe URL schemes and embedded credentials</t>
  </si>
  <si>
    <t>Prevent insecure, executable, local-file, protocol-relative and credential-bearing endpoints.</t>
  </si>
  <si>
    <t xml:space="preserve">1. Prepare an otherwise-valid API definition.
2. Try HTTP, javascript, data and file schemes.
3. Try a protocol-relative URL.
4. Try an HTTPS URL containing embedded credentials.</t>
  </si>
  <si>
    <t>Every unsafe endpoint remains on API Details and cannot advance.</t>
  </si>
  <si>
    <t xml:space="preserve">{
  "unsafeEndpoints": [
    "http://example.com/api",
    "javascript:alert(1)",
    "data:text/plain,qa-security",
    "file:///etc/passwd",
    "//example.com/api",
    "https://qa-user:qa-password@example.com/api"
  ]
}</t>
  </si>
  <si>
    <t>Endpoint allowlisting</t>
  </si>
  <si>
    <t>flow, negative, security, tools, endpoint, ssrf</t>
  </si>
  <si>
    <t>TL-020</t>
  </si>
  <si>
    <t>Reject loopback, private and link-local endpoints</t>
  </si>
  <si>
    <t>Prevent endpoint definitions that could target internal or metadata services.</t>
  </si>
  <si>
    <t xml:space="preserve">1. Prepare an otherwise-valid API definition.
2. Try localhost and 127.0.0.1.
3. Try a private RFC1918 address.
4. Try the link-local cloud metadata address.</t>
  </si>
  <si>
    <t>Internal-network endpoint values are rejected before Access.</t>
  </si>
  <si>
    <t xml:space="preserve">{
  "internalEndpoints": [
    "http://127.0.0.1/admin",
    "http://localhost/internal",
    "http://10.0.0.1/private",
    "http://169.254.169.254/latest/meta-data/"
  ]
}</t>
  </si>
  <si>
    <t>SSRF prevention</t>
  </si>
  <si>
    <t>TL-021</t>
  </si>
  <si>
    <t>Tool header security</t>
  </si>
  <si>
    <t>Reject CRLF injection in header values</t>
  </si>
  <si>
    <t>Verify valid JSON cannot smuggle additional HTTP headers through CRLF characters.</t>
  </si>
  <si>
    <t xml:space="preserve">1. Prepare an otherwise-valid API definition.
2. Enter valid Header JSON containing CRLF characters in a value.
3. Try to advance to Access.</t>
  </si>
  <si>
    <t>Header values containing CRLF are rejected and API Details remains active.</t>
  </si>
  <si>
    <t xml:space="preserve">{
  "header": {
    "X-QA-Header": "safe\r\nX-Injected: true"
  }
}</t>
  </si>
  <si>
    <t>HTTP header injection</t>
  </si>
  <si>
    <t>flow, negative, security, tools, header, crlf, injection</t>
  </si>
  <si>
    <t>TL-022</t>
  </si>
  <si>
    <t>Tool payload security</t>
  </si>
  <si>
    <t>Reject prototype-pollution keys without mutating the browser</t>
  </si>
  <si>
    <t>Verify dangerous object keys are rejected and do not change JavaScript prototypes.</t>
  </si>
  <si>
    <t xml:space="preserve">1. Prepare a valid schema.
2. Enter JSON containing __proto__ and constructor.prototype keys.
3. Try to advance to Access.
4. Verify Object.prototype was not modified.</t>
  </si>
  <si>
    <t>Dangerous keys are rejected and the browser object prototype remains clean.</t>
  </si>
  <si>
    <t xml:space="preserve">{
  "prototypePayload": "{\n  \"__proto__\": { \"polluted\": \"yes\" },\n  \"constructor\": { \"prototype\": { \"polluted\": \"yes\" } }\n}"
}</t>
  </si>
  <si>
    <t>Object injection</t>
  </si>
  <si>
    <t>flow, negative, security, tools, json, prototype-pollution</t>
  </si>
  <si>
    <t>TL-023</t>
  </si>
  <si>
    <t>Tool input security</t>
  </si>
  <si>
    <t>Escape XSS payloads in Information fields</t>
  </si>
  <si>
    <t>Use a harmless execution marker to confirm draft text is treated as data, not markup.</t>
  </si>
  <si>
    <t xml:space="preserve">1. Set a harmless browser execution marker.
2. Enter an image/onerror payload into name, purpose and keywords.
3. Verify unsafe markup characters are sanitized, no injected element appears and the marker is unchanged.
4. Cancel and verify the draft was not persisted.</t>
  </si>
  <si>
    <t>Information fields do not execute or persist the XSS payload.</t>
  </si>
  <si>
    <t xml:space="preserve">{
  "securityNamePrefix": "QA Security XSS"
}</t>
  </si>
  <si>
    <t>Cross-site scripting</t>
  </si>
  <si>
    <t>flow, security, tools, xss, input-encoding</t>
  </si>
  <si>
    <t>TL-024</t>
  </si>
  <si>
    <t>Tool search security</t>
  </si>
  <si>
    <t>Handle SQL, NoSQL and XSS-like search input safely</t>
  </si>
  <si>
    <t>Verify injection-shaped search strings do not execute or broaden results.</t>
  </si>
  <si>
    <t xml:space="preserve">1. Capture the initial tool count.
2. Search with SQL-like, NoSQL-like and XSS-like strings.
3. Verify no injected markup executes.
4. Verify the strings do not return the full tool list.
5. Clear search and verify the original count returns.</t>
  </si>
  <si>
    <t>Injection-shaped search text is treated literally and causes no execution or result expansion.</t>
  </si>
  <si>
    <t>Search injection</t>
  </si>
  <si>
    <t>flow, security, tools, search, injection, xss</t>
  </si>
  <si>
    <t>TL-025</t>
  </si>
  <si>
    <t>Tool data protection</t>
  </si>
  <si>
    <t>Keep sensitive draft values out of URLs and closed DOM</t>
  </si>
  <si>
    <t>Verify a synthetic secret is not placed in navigation URLs and is removed after cancellation.</t>
  </si>
  <si>
    <t xml:space="preserve">1. Enter a synthetic secret into draft purpose, header and payload fields.
2. Verify the current URL does not contain the secret.
3. Cancel the wizard.
4. Verify the URL and remaining DOM do not contain the secret.</t>
  </si>
  <si>
    <t>Sensitive draft values remain out of URLs and are removed when the draft closes.</t>
  </si>
  <si>
    <t xml:space="preserve">{
  "secretPrefix": "qa_secret_",
  "purposePrefix": "Purpose contains ",
  "keywords": "qa, security",
  "authorizationPrefix": "Bearer "
}</t>
  </si>
  <si>
    <t>Sensitive data exposure</t>
  </si>
  <si>
    <t>flow, security, tools, data-protection, url, cancel</t>
  </si>
  <si>
    <t>TL-026</t>
  </si>
  <si>
    <t>Tool access security</t>
  </si>
  <si>
    <t>Verify injection-shaped employee search text cannot add a user or change Owner access.</t>
  </si>
  <si>
    <t xml:space="preserve">1. Open Access on a new draft.
2. Enter SQL-like text into employee search.
3. Verify Selected Users remains zero.
4. Verify the Owner entry remains unchanged.
5. Cancel without saving.</t>
  </si>
  <si>
    <t>Search input does not select users or alter ownership.</t>
  </si>
  <si>
    <t xml:space="preserve">{
  "accessSearchPayload": "{{SQL_INJECTION_MARKER}}"
}</t>
  </si>
  <si>
    <t>Access control input</t>
  </si>
  <si>
    <t>flow, security, tools, access, injection, authorization</t>
  </si>
  <si>
    <t>TL-027</t>
  </si>
  <si>
    <t>Tool API security configuration</t>
  </si>
  <si>
    <t>Restrict methods and payload formats to the allowlist</t>
  </si>
  <si>
    <t>Verify the UI exposes only the approved method and payload-format options.</t>
  </si>
  <si>
    <t xml:space="preserve">1. Open the HTTP method selector.
2. Verify only GET, POST, PUT and DELETE are offered.
3. Verify TRACE and CONNECT are absent.
4. Open the payload format selector.
5. Verify only JSON, XML, Form Data and Parameters are offered.</t>
  </si>
  <si>
    <t>Only approved HTTP methods and payload formats can be selected.</t>
  </si>
  <si>
    <t xml:space="preserve">{
  "expectedMethods": [
    "DELETE",
    "GET",
    "POST",
    "PUT"
  ],
  "forbiddenMethods": [
    "TRACE",
    "CONNECT"
  ],
  "expectedPayloadFormats": [
    "Form Data",
    "JSON",
    "Parameters",
    "XML"
  ]
}</t>
  </si>
  <si>
    <t>Configuration allowlisting</t>
  </si>
  <si>
    <t>flow, security, tools, allowlist, method, payload-format</t>
  </si>
  <si>
    <t>TL-028</t>
  </si>
  <si>
    <t>Tool transport security</t>
  </si>
  <si>
    <t>Return baseline browser security headers</t>
  </si>
  <si>
    <t>Verify HTTPS and baseline anti-sniffing, transport, framing and browser-policy headers.</t>
  </si>
  <si>
    <t xml:space="preserve">1. Navigate directly to the Tools HTTPS route.
2. Capture the document response headers.
3. Verify HSTS and X-Content-Type-Options.
4. Verify Referrer-Policy and Permissions-Policy.
5. Verify CSP frame-ancestors or X-Frame-Options.</t>
  </si>
  <si>
    <t>The Tools document uses HTTPS and returns the baseline security headers.</t>
  </si>
  <si>
    <t xml:space="preserve">{
  "requiredHeaders": [
    "strict-transport-security",
    "referrer-policy",
    "permissions-policy"
  ],
  "contentTypeOptions": "nosniff"
}</t>
  </si>
  <si>
    <t>HTTP security headers</t>
  </si>
  <si>
    <t>flow, security, tools, headers, https, clickjacking</t>
  </si>
  <si>
    <t>TL-029</t>
  </si>
  <si>
    <t>Tool authentication security</t>
  </si>
  <si>
    <t>Block anonymous access to Tools controls</t>
  </si>
  <si>
    <t>Open Tools in a clean unauthenticated browser context without inspecting session data.</t>
  </si>
  <si>
    <t xml:space="preserve">1. Create a clean browser context with no saved session.
2. Open the Tools route.
3. Verify the authenticated search and Create Tool controls are unavailable.
4. Close the anonymous context.</t>
  </si>
  <si>
    <t>An anonymous browser cannot access authenticated Tools controls.</t>
  </si>
  <si>
    <t xml:space="preserve">{
  "toolsPath": "/tools",
  "searchPlaceholder": "Search tools...",
  "createButton": "Create Tool"
}</t>
  </si>
  <si>
    <t>flow, security, tools, authentication, anonymous</t>
  </si>
  <si>
    <t>TL-030</t>
  </si>
  <si>
    <t>Cancel access-search changes without privilege persistence</t>
  </si>
  <si>
    <t>Verify injected access-search text does not survive or alter the created tool.</t>
  </si>
  <si>
    <t>1. TL-011 created the date-time-stamped tool in the same run.</t>
  </si>
  <si>
    <t xml:space="preserve">1. Open the created tool and its Access tab.
2. Enter injection-shaped employee search text.
3. Verify no user is selected and cancel.
4. Reopen the tool Access tab.
5. Verify Selected Users is still zero and Owner is unchanged.</t>
  </si>
  <si>
    <t>Cancelled access input does not grant or persist any additional privilege.</t>
  </si>
  <si>
    <t>Authorization persistence</t>
  </si>
  <si>
    <t>flow, security, tools, access, authorization, persistence</t>
  </si>
  <si>
    <t>TL-031</t>
  </si>
  <si>
    <t>Tool CRUD matrix</t>
  </si>
  <si>
    <t>Create, update and delete GET + JSON tools</t>
  </si>
  <si>
    <t>Execute the Excel-driven GET + JSON Tool lifecycle in My Account and subscribed HCL, including persisted-value verification and exact deletion.</t>
  </si>
  <si>
    <t xml:space="preserve">1. A valid authenticated June session is available.
2. My Account and the subscribed HCL business permit CRUD operations on run-owned QA tools.</t>
  </si>
  <si>
    <t xml:space="preserve">1. Enter and assert each configured account context.
2. Create a unique context-owned tool using GET and JSON.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</si>
  <si>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GET + JSON tools are created, verified, updated, reverified and deleted in both account contexts, with no exact card remaining after reload.</t>
  </si>
  <si>
    <t xml:space="preserve">{
  "contexts": [
    "myAccount",
    "subscribedBusiness"
  ],
  "method": "GET",
  "payloadType": "JSON",
  "createButton": "Create Tool",
  "updateButton": "Update Tool",
  "deleteMenuItem": "Delete",
  "deleteDialogTitle": "Delete Tool",
  "deleteButton": "Delete",
  "createPayload": "{\n  \"matrixCaseId\": \"TL-031\",\n  \"flow\": \"tools\",\n  \"operation\": \"create\",\n  \"method\": \"GET\",\n  \"payloadType\": \"JSON\",\n  \"createdAt\": \"{{RUN_ISO}}\"\n}",
  "updatePayload": "{\n  \"matrixCaseId\": \"TL-031\",\n  \"flow\": \"tools\",\n  \"operation\": \"update\",\n  \"method\": \"GET\",\n  \"payloadType\": \"JSON\",\n  \"updatedAt\": \"{{UPDATE_ISO}}\"\n}"
}</t>
  </si>
  <si>
    <t>flow, write, tools, crud-matrix, create, update, delete, api, account-context, business-switch</t>
  </si>
  <si>
    <t>TL-032</t>
  </si>
  <si>
    <t>Create, update and delete GET + XML tools</t>
  </si>
  <si>
    <t>Execute the Excel-driven GET + XML Tool lifecycle in My Account and subscribed HCL, including persisted-value verification and exact deletion.</t>
  </si>
  <si>
    <t xml:space="preserve">1. Enter and assert each configured account context.
2. Create a unique context-owned tool using GET and XML.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</si>
  <si>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GET + XML tools are created, verified, updated, reverified and deleted in both account contexts, with no exact card remaining after reload.</t>
  </si>
  <si>
    <t xml:space="preserve">{
  "contexts": [
    "myAccount",
    "subscribedBusiness"
  ],
  "method": "GET",
  "payloadType": "XML",
  "createButton": "Create Tool",
  "updateButton": "Update Tool",
  "deleteMenuItem": "Delete",
  "deleteDialogTitle": "Delete Tool",
  "deleteButton": "Delete",
  "createPayload": "&lt;toolRequest&gt;\n  &lt;matrixCaseId&gt;TL-032&lt;/matrixCaseId&gt;\n  &lt;flow&gt;tools&lt;/flow&gt;\n  &lt;operation&gt;create&lt;/operation&gt;\n  &lt;method&gt;GET&lt;/method&gt;\n  &lt;payloadType&gt;XML&lt;/payloadType&gt;\n  &lt;createdAt&gt;{{RUN_ISO}}&lt;/createdAt&gt;\n&lt;/toolRequest&gt;",
  "updatePayload": "&lt;toolRequest&gt;\n  &lt;matrixCaseId&gt;TL-032&lt;/matrixCaseId&gt;\n  &lt;flow&gt;tools&lt;/flow&gt;\n  &lt;operation&gt;update&lt;/operation&gt;\n  &lt;method&gt;GET&lt;/method&gt;\n  &lt;payloadType&gt;XML&lt;/payloadType&gt;\n  &lt;updatedAt&gt;{{UPDATE_ISO}}&lt;/updatedAt&gt;\n&lt;/toolRequest&gt;"
}</t>
  </si>
  <si>
    <t>TL-033</t>
  </si>
  <si>
    <t>Create, update and delete GET + Form Data tools</t>
  </si>
  <si>
    <t>Execute the Excel-driven GET + Form Data Tool lifecycle in My Account and subscribed HCL, including persisted-value verification and exact deletion.</t>
  </si>
  <si>
    <t xml:space="preserve">1. Enter and assert each configured account context.
2. Create a unique context-owned tool using GET and Form Data.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</si>
  <si>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GET + Form Data tools are created, verified, updated, reverified and deleted in both account contexts, with no exact card remaining after reload.</t>
  </si>
  <si>
    <t xml:space="preserve">{
  "contexts": [
    "myAccount",
    "subscribedBusiness"
  ],
  "method": "GET",
  "payloadType": "Form Data",
  "createButton": "Create Tool",
  "updateButton": "Update Tool",
  "deleteMenuItem": "Delete",
  "deleteDialogTitle": "Delete Tool",
  "deleteButton": "Delete",
  "createPayload": "matrixCaseId:TL-033\nflow:tools\noperation:create\nmethod:GET\npayloadType:Form Data\ncreatedAt:{{RUN_ISO}}",
  "updatePayload": "matrixCaseId:TL-033\nflow:tools\noperation:update\nmethod:GET\npayloadType:Form Data\nupdatedAt:{{UPDATE_ISO}}"
}</t>
  </si>
  <si>
    <t>TL-034</t>
  </si>
  <si>
    <t>Create, update and delete GET + Parameters tools</t>
  </si>
  <si>
    <t>Execute the Excel-driven GET + Parameters Tool lifecycle in My Account and subscribed HCL, including persisted-value verification and exact deletion.</t>
  </si>
  <si>
    <t xml:space="preserve">1. Enter and assert each configured account context.
2. Create a unique context-owned tool using GET and Parameters.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</si>
  <si>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GET + Parameters tools are created, verified, updated, reverified and deleted in both account contexts, with no exact card remaining after reload.</t>
  </si>
  <si>
    <t xml:space="preserve">{
  "contexts": [
    "myAccount",
    "subscribedBusiness"
  ],
  "method": "GET",
  "payloadType": "Parameters",
  "createButton": "Create Tool",
  "updateButton": "Update Tool",
  "deleteMenuItem": "Delete",
  "deleteDialogTitle": "Delete Tool",
  "deleteButton": "Delete",
  "createPayload": "matrixCaseId:TL-034\nflow:tools\noperation:create\nmethod:GET\npayloadType:Parameters\ncreatedAt:{{RUN_ISO}}",
  "updatePayload": "matrixCaseId:TL-034\nflow:tools\noperation:update\nmethod:GET\npayloadType:Parameters\nupdatedAt:{{UPDATE_ISO}}"
}</t>
  </si>
  <si>
    <t>TL-035</t>
  </si>
  <si>
    <t>Create, update and delete POST + JSON tools</t>
  </si>
  <si>
    <t>Execute the Excel-driven POST + JSON Tool lifecycle in My Account and subscribed HCL, including persisted-value verification and exact deletion.</t>
  </si>
  <si>
    <t xml:space="preserve">1. Enter and assert each configured account context.
2. Create a unique context-owned tool using POST and JSON.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</si>
  <si>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POST + JSON tools are created, verified, updated, reverified and deleted in both account contexts, with no exact card remaining after reload.</t>
  </si>
  <si>
    <t xml:space="preserve">{
  "contexts": [
    "myAccount",
    "subscribedBusiness"
  ],
  "method": "POST",
  "payloadType": "JSON",
  "createButton": "Create Tool",
  "updateButton": "Update Tool",
  "deleteMenuItem": "Delete",
  "deleteDialogTitle": "Delete Tool",
  "deleteButton": "Delete",
  "createPayload": "{\n  \"matrixCaseId\": \"TL-035\",\n  \"flow\": \"tools\",\n  \"operation\": \"create\",\n  \"method\": \"POST\",\n  \"payloadType\": \"JSON\",\n  \"createdAt\": \"{{RUN_ISO}}\"\n}",
  "updatePayload": "{\n  \"matrixCaseId\": \"TL-035\",\n  \"flow\": \"tools\",\n  \"operation\": \"update\",\n  \"method\": \"POST\",\n  \"payloadType\": \"JSON\",\n  \"updatedAt\": \"{{UPDATE_ISO}}\"\n}"
}</t>
  </si>
  <si>
    <t>TL-036</t>
  </si>
  <si>
    <t>Create, update and delete POST + XML tools</t>
  </si>
  <si>
    <t>Execute the Excel-driven POST + XML Tool lifecycle in My Account and subscribed HCL, including persisted-value verification and exact deletion.</t>
  </si>
  <si>
    <t xml:space="preserve">1. Enter and assert each configured account context.
2. Create a unique context-owned tool using POST and XML.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</si>
  <si>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POST + XML tools are created, verified, updated, reverified and deleted in both account contexts, with no exact card remaining after reload.</t>
  </si>
  <si>
    <t xml:space="preserve">{
  "contexts": [
    "myAccount",
    "subscribedBusiness"
  ],
  "method": "POST",
  "payloadType": "XML",
  "createButton": "Create Tool",
  "updateButton": "Update Tool",
  "deleteMenuItem": "Delete",
  "deleteDialogTitle": "Delete Tool",
  "deleteButton": "Delete",
  "createPayload": "&lt;toolRequest&gt;\n  &lt;matrixCaseId&gt;TL-036&lt;/matrixCaseId&gt;\n  &lt;flow&gt;tools&lt;/flow&gt;\n  &lt;operation&gt;create&lt;/operation&gt;\n  &lt;method&gt;POST&lt;/method&gt;\n  &lt;payloadType&gt;XML&lt;/payloadType&gt;\n  &lt;createdAt&gt;{{RUN_ISO}}&lt;/createdAt&gt;\n&lt;/toolRequest&gt;",
  "updatePayload": "&lt;toolRequest&gt;\n  &lt;matrixCaseId&gt;TL-036&lt;/matrixCaseId&gt;\n  &lt;flow&gt;tools&lt;/flow&gt;\n  &lt;operation&gt;update&lt;/operation&gt;\n  &lt;method&gt;POST&lt;/method&gt;\n  &lt;payloadType&gt;XML&lt;/payloadType&gt;\n  &lt;updatedAt&gt;{{UPDATE_ISO}}&lt;/updatedAt&gt;\n&lt;/toolRequest&gt;"
}</t>
  </si>
  <si>
    <t>TL-037</t>
  </si>
  <si>
    <t>Create, update and delete POST + Form Data tools</t>
  </si>
  <si>
    <t>Execute the Excel-driven POST + Form Data Tool lifecycle in My Account and subscribed HCL, including persisted-value verification and exact deletion.</t>
  </si>
  <si>
    <t xml:space="preserve">1. Enter and assert each configured account context.
2. Create a unique context-owned tool using POST and Form Data.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</si>
  <si>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POST + Form Data tools are created, verified, updated, reverified and deleted in both account contexts, with no exact card remaining after reload.</t>
  </si>
  <si>
    <t xml:space="preserve">{
  "contexts": [
    "myAccount",
    "subscribedBusiness"
  ],
  "method": "POST",
  "payloadType": "Form Data",
  "createButton": "Create Tool",
  "updateButton": "Update Tool",
  "deleteMenuItem": "Delete",
  "deleteDialogTitle": "Delete Tool",
  "deleteButton": "Delete",
  "createPayload": "matrixCaseId:TL-037\nflow:tools\noperation:create\nmethod:POST\npayloadType:Form Data\ncreatedAt:{{RUN_ISO}}",
  "updatePayload": "matrixCaseId:TL-037\nflow:tools\noperation:update\nmethod:POST\npayloadType:Form Data\nupdatedAt:{{UPDATE_ISO}}"
}</t>
  </si>
  <si>
    <t>TL-038</t>
  </si>
  <si>
    <t>Create, update and delete POST + Parameters tools</t>
  </si>
  <si>
    <t>Execute the Excel-driven POST + Parameters Tool lifecycle in My Account and subscribed HCL, including persisted-value verification and exact deletion.</t>
  </si>
  <si>
    <t xml:space="preserve">1. Enter and assert each configured account context.
2. Create a unique context-owned tool using POST and Parameters.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</si>
  <si>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POST + Parameters tools are created, verified, updated, reverified and deleted in both account contexts, with no exact card remaining after reload.</t>
  </si>
  <si>
    <t xml:space="preserve">{
  "contexts": [
    "myAccount",
    "subscribedBusiness"
  ],
  "method": "POST",
  "payloadType": "Parameters",
  "createButton": "Create Tool",
  "updateButton": "Update Tool",
  "deleteMenuItem": "Delete",
  "deleteDialogTitle": "Delete Tool",
  "deleteButton": "Delete",
  "createPayload": "matrixCaseId:TL-038\nflow:tools\noperation:create\nmethod:POST\npayloadType:Parameters\ncreatedAt:{{RUN_ISO}}",
  "updatePayload": "matrixCaseId:TL-038\nflow:tools\noperation:update\nmethod:POST\npayloadType:Parameters\nupdatedAt:{{UPDATE_ISO}}"
}</t>
  </si>
  <si>
    <t>TL-039</t>
  </si>
  <si>
    <t>Create, update and delete PUT + JSON tools</t>
  </si>
  <si>
    <t>Execute the Excel-driven PUT + JSON Tool lifecycle in My Account and subscribed HCL, including persisted-value verification and exact deletion.</t>
  </si>
  <si>
    <t xml:space="preserve">1. Enter and assert each configured account context.
2. Create a unique context-owned tool using PUT and JSON.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</si>
  <si>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PUT + JSON tools are created, verified, updated, reverified and deleted in both account contexts, with no exact card remaining after reload.</t>
  </si>
  <si>
    <t xml:space="preserve">{
  "contexts": [
    "myAccount",
    "subscribedBusiness"
  ],
  "method": "PUT",
  "payloadType": "JSON",
  "createButton": "Create Tool",
  "updateButton": "Update Tool",
  "deleteMenuItem": "Delete",
  "deleteDialogTitle": "Delete Tool",
  "deleteButton": "Delete",
  "createPayload": "{\n  \"matrixCaseId\": \"TL-039\",\n  \"flow\": \"tools\",\n  \"operation\": \"create\",\n  \"method\": \"PUT\",\n  \"payloadType\": \"JSON\",\n  \"createdAt\": \"{{RUN_ISO}}\"\n}",
  "updatePayload": "{\n  \"matrixCaseId\": \"TL-039\",\n  \"flow\": \"tools\",\n  \"operation\": \"update\",\n  \"method\": \"PUT\",\n  \"payloadType\": \"JSON\",\n  \"updatedAt\": \"{{UPDATE_ISO}}\"\n}"
}</t>
  </si>
  <si>
    <t>TL-040</t>
  </si>
  <si>
    <t>Create, update and delete PUT + XML tools</t>
  </si>
  <si>
    <t>Execute the Excel-driven PUT + XML Tool lifecycle in My Account and subscribed HCL, including persisted-value verification and exact deletion.</t>
  </si>
  <si>
    <t xml:space="preserve">1. Enter and assert each configured account context.
2. Create a unique context-owned tool using PUT and XML.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</si>
  <si>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PUT + XML tools are created, verified, updated, reverified and deleted in both account contexts, with no exact card remaining after reload.</t>
  </si>
  <si>
    <t xml:space="preserve">{
  "contexts": [
    "myAccount",
    "subscribedBusiness"
  ],
  "method": "PUT",
  "payloadType": "XML",
  "createButton": "Create Tool",
  "updateButton": "Update Tool",
  "deleteMenuItem": "Delete",
  "deleteDialogTitle": "Delete Tool",
  "deleteButton": "Delete",
  "createPayload": "&lt;toolRequest&gt;\n  &lt;matrixCaseId&gt;TL-040&lt;/matrixCaseId&gt;\n  &lt;flow&gt;tools&lt;/flow&gt;\n  &lt;operation&gt;create&lt;/operation&gt;\n  &lt;method&gt;PUT&lt;/method&gt;\n  &lt;payloadType&gt;XML&lt;/payloadType&gt;\n  &lt;createdAt&gt;{{RUN_ISO}}&lt;/createdAt&gt;\n&lt;/toolRequest&gt;",
  "updatePayload": "&lt;toolRequest&gt;\n  &lt;matrixCaseId&gt;TL-040&lt;/matrixCaseId&gt;\n  &lt;flow&gt;tools&lt;/flow&gt;\n  &lt;operation&gt;update&lt;/operation&gt;\n  &lt;method&gt;PUT&lt;/method&gt;\n  &lt;payloadType&gt;XML&lt;/payloadType&gt;\n  &lt;updatedAt&gt;{{UPDATE_ISO}}&lt;/updatedAt&gt;\n&lt;/toolRequest&gt;"
}</t>
  </si>
  <si>
    <t>TL-041</t>
  </si>
  <si>
    <t>Create, update and delete PUT + Form Data tools</t>
  </si>
  <si>
    <t>Execute the Excel-driven PUT + Form Data Tool lifecycle in My Account and subscribed HCL, including persisted-value verification and exact deletion.</t>
  </si>
  <si>
    <t xml:space="preserve">1. Enter and assert each configured account context.
2. Create a unique context-owned tool using PUT and Form Data.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</si>
  <si>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PUT + Form Data tools are created, verified, updated, reverified and deleted in both account contexts, with no exact card remaining after reload.</t>
  </si>
  <si>
    <t xml:space="preserve">{
  "contexts": [
    "myAccount",
    "subscribedBusiness"
  ],
  "method": "PUT",
  "payloadType": "Form Data",
  "createButton": "Create Tool",
  "updateButton": "Update Tool",
  "deleteMenuItem": "Delete",
  "deleteDialogTitle": "Delete Tool",
  "deleteButton": "Delete",
  "createPayload": "matrixCaseId:TL-041\nflow:tools\noperation:create\nmethod:PUT\npayloadType:Form Data\ncreatedAt:{{RUN_ISO}}",
  "updatePayload": "matrixCaseId:TL-041\nflow:tools\noperation:update\nmethod:PUT\npayloadType:Form Data\nupdatedAt:{{UPDATE_ISO}}"
}</t>
  </si>
  <si>
    <t>TL-042</t>
  </si>
  <si>
    <t>Create, update and delete PUT + Parameters tools</t>
  </si>
  <si>
    <t>Execute the Excel-driven PUT + Parameters Tool lifecycle in My Account and subscribed HCL, including persisted-value verification and exact deletion.</t>
  </si>
  <si>
    <t xml:space="preserve">1. Enter and assert each configured account context.
2. Create a unique context-owned tool using PUT and Parameters.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</si>
  <si>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PUT + Parameters tools are created, verified, updated, reverified and deleted in both account contexts, with no exact card remaining after reload.</t>
  </si>
  <si>
    <t xml:space="preserve">{
  "contexts": [
    "myAccount",
    "subscribedBusiness"
  ],
  "method": "PUT",
  "payloadType": "Parameters",
  "createButton": "Create Tool",
  "updateButton": "Update Tool",
  "deleteMenuItem": "Delete",
  "deleteDialogTitle": "Delete Tool",
  "deleteButton": "Delete",
  "createPayload": "matrixCaseId:TL-042\nflow:tools\noperation:create\nmethod:PUT\npayloadType:Parameters\ncreatedAt:{{RUN_ISO}}",
  "updatePayload": "matrixCaseId:TL-042\nflow:tools\noperation:update\nmethod:PUT\npayloadType:Parameters\nupdatedAt:{{UPDATE_ISO}}"
}</t>
  </si>
  <si>
    <t>TL-043</t>
  </si>
  <si>
    <t>Create, update and delete DELETE + JSON tools</t>
  </si>
  <si>
    <t>Execute the Excel-driven DELETE + JSON Tool lifecycle in My Account and subscribed HCL, including persisted-value verification and exact deletion.</t>
  </si>
  <si>
    <t xml:space="preserve">1. Enter and assert each configured account context.
2. Create a unique context-owned tool using DELETE and JSON.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</si>
  <si>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DELETE + JSON tools are created, verified, updated, reverified and deleted in both account contexts, with no exact card remaining after reload.</t>
  </si>
  <si>
    <t xml:space="preserve">{
  "contexts": [
    "myAccount",
    "subscribedBusiness"
  ],
  "method": "DELETE",
  "payloadType": "JSON",
  "createButton": "Create Tool",
  "updateButton": "Update Tool",
  "deleteMenuItem": "Delete",
  "deleteDialogTitle": "Delete Tool",
  "deleteButton": "Delete",
  "createPayload": "{\n  \"matrixCaseId\": \"TL-043\",\n  \"flow\": \"tools\",\n  \"operation\": \"create\",\n  \"method\": \"DELETE\",\n  \"payloadType\": \"JSON\",\n  \"createdAt\": \"{{RUN_ISO}}\"\n}",
  "updatePayload": "{\n  \"matrixCaseId\": \"TL-043\",\n  \"flow\": \"tools\",\n  \"operation\": \"update\",\n  \"method\": \"DELETE\",\n  \"payloadType\": \"JSON\",\n  \"updatedAt\": \"{{UPDATE_ISO}}\"\n}"
}</t>
  </si>
  <si>
    <t>TL-044</t>
  </si>
  <si>
    <t>Create, update and delete DELETE + XML tools</t>
  </si>
  <si>
    <t>Execute the Excel-driven DELETE + XML Tool lifecycle in My Account and subscribed HCL, including persisted-value verification and exact deletion.</t>
  </si>
  <si>
    <t xml:space="preserve">1. Enter and assert each configured account context.
2. Create a unique context-owned tool using DELETE and XML.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</si>
  <si>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DELETE + XML tools are created, verified, updated, reverified and deleted in both account contexts, with no exact card remaining after reload.</t>
  </si>
  <si>
    <t xml:space="preserve">{
  "contexts": [
    "myAccount",
    "subscribedBusiness"
  ],
  "method": "DELETE",
  "payloadType": "XML",
  "createButton": "Create Tool",
  "updateButton": "Update Tool",
  "deleteMenuItem": "Delete",
  "deleteDialogTitle": "Delete Tool",
  "deleteButton": "Delete",
  "createPayload": "&lt;toolRequest&gt;\n  &lt;matrixCaseId&gt;TL-044&lt;/matrixCaseId&gt;\n  &lt;flow&gt;tools&lt;/flow&gt;\n  &lt;operation&gt;create&lt;/operation&gt;\n  &lt;method&gt;DELETE&lt;/method&gt;\n  &lt;payloadType&gt;XML&lt;/payloadType&gt;\n  &lt;createdAt&gt;{{RUN_ISO}}&lt;/createdAt&gt;\n&lt;/toolRequest&gt;",
  "updatePayload": "&lt;toolRequest&gt;\n  &lt;matrixCaseId&gt;TL-044&lt;/matrixCaseId&gt;\n  &lt;flow&gt;tools&lt;/flow&gt;\n  &lt;operation&gt;update&lt;/operation&gt;\n  &lt;method&gt;DELETE&lt;/method&gt;\n  &lt;payloadType&gt;XML&lt;/payloadType&gt;\n  &lt;updatedAt&gt;{{UPDATE_ISO}}&lt;/updatedAt&gt;\n&lt;/toolRequest&gt;"
}</t>
  </si>
  <si>
    <t>TL-045</t>
  </si>
  <si>
    <t>Create, update and delete DELETE + Form Data tools</t>
  </si>
  <si>
    <t>Execute the Excel-driven DELETE + Form Data Tool lifecycle in My Account and subscribed HCL, including persisted-value verification and exact deletion.</t>
  </si>
  <si>
    <t xml:space="preserve">1. Enter and assert each configured account context.
2. Create a unique context-owned tool using DELETE and Form Data.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</si>
  <si>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DELETE + Form Data tools are created, verified, updated, reverified and deleted in both account contexts, with no exact card remaining after reload.</t>
  </si>
  <si>
    <t xml:space="preserve">{
  "contexts": [
    "myAccount",
    "subscribedBusiness"
  ],
  "method": "DELETE",
  "payloadType": "Form Data",
  "createButton": "Create Tool",
  "updateButton": "Update Tool",
  "deleteMenuItem": "Delete",
  "deleteDialogTitle": "Delete Tool",
  "deleteButton": "Delete",
  "createPayload": "matrixCaseId:TL-045\nflow:tools\noperation:create\nmethod:DELETE\npayloadType:Form Data\ncreatedAt:{{RUN_ISO}}",
  "updatePayload": "matrixCaseId:TL-045\nflow:tools\noperation:update\nmethod:DELETE\npayloadType:Form Data\nupdatedAt:{{UPDATE_ISO}}"
}</t>
  </si>
  <si>
    <t>TL-046</t>
  </si>
  <si>
    <t>Create, update and delete DELETE + Parameters tools</t>
  </si>
  <si>
    <t>Execute the Excel-driven DELETE + Parameters Tool lifecycle in My Account and subscribed HCL, including persisted-value verification and exact deletion.</t>
  </si>
  <si>
    <t xml:space="preserve">1. Enter and assert each configured account context.
2. Create a unique context-owned tool using DELETE and Parameters.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</si>
  <si>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DELETE + Parameters tools are created, verified, updated, reverified and deleted in both account contexts, with no exact card remaining after reload.</t>
  </si>
  <si>
    <t xml:space="preserve">{
  "contexts": [
    "myAccount",
    "subscribedBusiness"
  ],
  "method": "DELETE",
  "payloadType": "Parameters",
  "createButton": "Create Tool",
  "updateButton": "Update Tool",
  "deleteMenuItem": "Delete",
  "deleteDialogTitle": "Delete Tool",
  "deleteButton": "Delete",
  "createPayload": "matrixCaseId:TL-046\nflow:tools\noperation:create\nmethod:DELETE\npayloadType:Parameters\ncreatedAt:{{RUN_ISO}}",
  "updatePayload": "matrixCaseId:TL-046\nflow:tools\noperation:update\nmethod:DELETE\npayloadType:Parameters\nupdatedAt:{{UPDATE_ISO}}"
}</t>
  </si>
  <si>
    <t>TL-047</t>
  </si>
  <si>
    <t>Tool authentication access</t>
  </si>
  <si>
    <t>Select No Authentication and verify persistence</t>
  </si>
  <si>
    <t>Create a run-owned tool in each configured account context, select No Authentication, and verify the selection survives create and update reopen cycles.</t>
  </si>
  <si>
    <t xml:space="preserve">1. A valid authenticated June session is available.
2. My Account and the subscribed business permit CRUD operations on run-owned QA tools.</t>
  </si>
  <si>
    <t xml:space="preserve">1. Enter and assert each Excel-configured account context.
2. Create a unique tool and select No Authentication in API Details Header.
3. Reopen the exact tool and verify No Authentication remains selected.
4. Update the tool, reopen it again and verify the selection still persists.
5. Delete only the exact run-owned tool and restore My Account.</t>
  </si>
  <si>
    <t>No Authentication remains selected after create and update in both account contexts, and both run-owned tools are deleted safely.</t>
  </si>
  <si>
    <t xml:space="preserve">{
  "contexts": [
    "myAccount",
    "subscribedBusiness"
  ],
  "authenticationOption": "No Authentication",
  "createButton": "Create Tool",
  "updateButton": "Update Tool",
  "deleteMenuItem": "Delete",
  "deleteDialogTitle": "Delete Tool",
  "deleteButton": "Delete"
}</t>
  </si>
  <si>
    <t>flow, write, tools, access-controls, authentication, persistence, account-context, business-switch</t>
  </si>
  <si>
    <t>TL-048</t>
  </si>
  <si>
    <t>Tool company access</t>
  </si>
  <si>
    <t>Verify Company Access visibility from a separate company login</t>
  </si>
  <si>
    <t>Verify Company Access persistence and authorization by checking the tool from a different, unassigned company-member login while access is enabled and disabled.</t>
  </si>
  <si>
    <t xml:space="preserve">1. A valid authenticated June session is available.
2. The configured subscribed business permits Tool CRUD operations.</t>
  </si>
  <si>
    <t xml:space="preserve">1. Switch to and assert the Excel-configured subscribed-business context.
2. Create a unique tool with Company Access enabled.
3. Reopen the exact tool and verify Company Access remains enabled.
4. Open an isolated company-member session and verify the tool is visible in the Tools menu.
5. Disable Company Access, update the tool and verify the disabled state after reopening.
6. Refresh the same company-member Tools menu and verify the tool is no longer visible.
7. Delete only the exact run-owned tool and restore My Account.</t>
  </si>
  <si>
    <t>The unrelated company member sees the tool only while Company Access is enabled, both switch states persist, and the run-owned tool is deleted safely.</t>
  </si>
  <si>
    <t xml:space="preserve">{
  "context": "subscribedBusiness",
  "companyAccessLabel": "Company Access",
  "companyAccessStates": [
    true,
    false
  ],
  "createButton": "Create Tool",
  "updateButton": "Update Tool",
  "deleteMenuItem": "Delete",
  "deleteDialogTitle": "Delete Tool",
  "deleteButton": "Delete",
  "companyMemberVisibleWhenEnabled": true,
  "companyMemberHiddenWhenDisabled": true
}</t>
  </si>
  <si>
    <t>flow, write, tools, access-controls, company-access, cross-user-access, authorization, persistence, account-context, business-switch</t>
  </si>
  <si>
    <t>TL-049</t>
  </si>
  <si>
    <t>Tool employee access</t>
  </si>
  <si>
    <t>Verify assigned-user visibility and unassigned company-user denial</t>
  </si>
  <si>
    <t>Assign the configured user plus a second active employee, verify permission persistence, then prove visibility from the assigned login and denial from a different unassigned company login without storing employee PII.</t>
  </si>
  <si>
    <t xml:space="preserve">1. A valid authenticated June session is available.
2. Distinct assigned-user and company-member sessions are configured outside Excel.
3. The configured subscribed business exposes at least two distinct approved employee results.</t>
  </si>
  <si>
    <t xml:space="preserve">1. Switch to and assert the Excel-configured subscribed-business context.
2. Select the configured assigned user, then discover a different active employee without writing either identifier to Excel or evidence.
3. Assign Can Edit to the configured user and Can View to the second employee while Company Access remains disabled.
4. Verify Selected Users equals two, save, reopen and verify both permission assignments persist.
5. Verify the assigned login sees the tool and a different unassigned company-member login does not.
6. Delete only the exact run-owned tool and restore My Account.</t>
  </si>
  <si>
    <t>The configured assigned user sees the tool, the unrelated unassigned company member cannot see it while Company Access is off, permissions persist, and the run-owned tool is deleted safely.</t>
  </si>
  <si>
    <t xml:space="preserve">{
  "context": "subscribedBusiness",
  "permissions": [
    "Can Edit",
    "Can View"
  ],
  "expectedSelectedCount": 2,
  "createButton": "Create Tool",
  "updateButton": "Update Tool",
  "deleteMenuItem": "Delete",
  "deleteDialogTitle": "Delete Tool",
  "deleteButton": "Delete",
  "employeeDirectoryPath": "/api/admin-settings/get_employee_details/",
  "employeeCandidateLimit": 10,
  "assignedUserVisible": true,
  "unassignedCompanyMemberHidden": true
}</t>
  </si>
  <si>
    <t>flow, write, tools, access-controls, employee-access, cross-user-access, authorization, permissions, persistence, account-context, business-switch</t>
  </si>
  <si>
    <t>CN-001</t>
  </si>
  <si>
    <t>Connector navigation</t>
  </si>
  <si>
    <t>Open the Connectors module</t>
  </si>
  <si>
    <t>Verify authenticated entry to the Connectors module.</t>
  </si>
  <si>
    <t xml:space="preserve">1. Open Connectors.
2. Verify its heading, search and Create Connector action.</t>
  </si>
  <si>
    <t>The Connectors page opens in the authenticated business and is ready for interaction.</t>
  </si>
  <si>
    <t>flow, smoke, connectors, navigation</t>
  </si>
  <si>
    <t>connectors-data-driven.xlsx</t>
  </si>
  <si>
    <t>CN-002</t>
  </si>
  <si>
    <t>Connector discovery</t>
  </si>
  <si>
    <t>Search for a visible connector and clear the search</t>
  </si>
  <si>
    <t>Verify recorded search behavior against live business data.</t>
  </si>
  <si>
    <t xml:space="preserve">1. A valid authenticated June session is available.
2. At least one connector is visible.</t>
  </si>
  <si>
    <t xml:space="preserve">1. Capture the visible connector names.
2. Search with one visible connector name.
3. Verify every result matches.
4. Clear search and verify the original list returns.</t>
  </si>
  <si>
    <t>Search returns only matching connectors and clearing restores the original list.</t>
  </si>
  <si>
    <t>flow, connectors, search, regression</t>
  </si>
  <si>
    <t>CN-003</t>
  </si>
  <si>
    <t>Apply every date filter, layout and refresh</t>
  </si>
  <si>
    <t>Exercise all date filters, both layouts and the recorded refresh action.</t>
  </si>
  <si>
    <t xml:space="preserve">1. Apply Today, Yesterday, Past 7 days and Last Month.
2. Return to Connectors after filtering.
3. Select grid and list layouts.
4. Refresh the connector list.</t>
  </si>
  <si>
    <t>Every date filter closes, both layouts select, and refresh completes.</t>
  </si>
  <si>
    <t xml:space="preserve">{
  "dateFilters": [
    "Today",
    "Yesterday",
    "Past 7 days",
    "Last Month"
  ],
  "viewIndexes": [
    0,
    1
  ],
  "refreshIndex": 2
}</t>
  </si>
  <si>
    <t>flow, connectors, filter, layout, regression</t>
  </si>
  <si>
    <t>CN-004</t>
  </si>
  <si>
    <t>Connector creation form</t>
  </si>
  <si>
    <t>Show the recorded connector fields and allowed countries</t>
  </si>
  <si>
    <t>Verify form controls, country choices and PNG guidance.</t>
  </si>
  <si>
    <t xml:space="preserve">1. Open Create Connector.
2. Verify name, server URL, config, country, description and icon controls.
3. Verify the three required controls.
4. Verify India, USA and UAE are offered.
5. Verify PNG and 40KB icon guidance.
6. Cancel.</t>
  </si>
  <si>
    <t>The recorded connector form and its country and icon rules are visible.</t>
  </si>
  <si>
    <t xml:space="preserve">{
  "countries": [
    "India",
    "USA",
    "UAE"
  ],
  "iconAcceptIncludes": "image/png",
  "iconGuidance": [
    "PNG",
    "40KB"
  ]
}</t>
  </si>
  <si>
    <t>flow, connectors, create, form, country, upload</t>
  </si>
  <si>
    <t>CN-005</t>
  </si>
  <si>
    <t>Connector creation validation</t>
  </si>
  <si>
    <t>Validate every required connector field</t>
  </si>
  <si>
    <t>Exercise empty, missing and whitespace-only required values.</t>
  </si>
  <si>
    <t xml:space="preserve">1. Try Next with all required fields empty.
2. Try Next with name, server URL and config missing one at a time.
3. Try whitespace-only values.
4. Enter valid values and advance to Access.
5. Cancel.</t>
  </si>
  <si>
    <t>Invalid combinations remain on Information and valid data advances to Access.</t>
  </si>
  <si>
    <t xml:space="preserve">{
  "invalidInformation": [
    {
      "label": "all required fields are empty",
      "name": "",
      "serverUrl": "",
      "config": ""
    },
    {
      "label": "name is missing",
      "name": "",
      "serverUrl": "{{SERVER_URL}}",
      "config": "{{CONFIG_JSON}}"
    },
    {
      "label": "server URL is missing",
      "name": "{{DRAFT_NAME}}",
      "serverUrl": "",
      "config": "{{CONFIG_JSON}}"
    },
    {
      "label": "config is missing",
      "name": "{{DRAFT_NAME}}",
      "serverUrl": "{{SERVER_URL}}",
      "config": ""
    },
    {
      "label": "required values contain whitespace only",
      "name": "   ",
      "serverUrl": "   ",
      "config": "   "
    }
  ]
}</t>
  </si>
  <si>
    <t>flow, negative, connectors, validation, required-fields</t>
  </si>
  <si>
    <t>CN-006</t>
  </si>
  <si>
    <t>Connector endpoint security</t>
  </si>
  <si>
    <t>Reject malformed and unsafe connector server URLs</t>
  </si>
  <si>
    <t>Block malformed, executable, local-file, credential-bearing and internal URLs.</t>
  </si>
  <si>
    <t xml:space="preserve">1. Prepare otherwise-valid Information.
2. Try malformed text, javascript and file schemes.
3. Try embedded credentials.
4. Try localhost, private and link-local addresses.</t>
  </si>
  <si>
    <t>Every malformed or unsafe server URL remains on Information and cannot advance.</t>
  </si>
  <si>
    <t xml:space="preserve">{
  "invalidServerUrls": [
    "not-a-valid-url",
    "javascript:alert(1)",
    "file:///C:/Windows/win.ini",
    "https://user:password@example.com/hook",
    "http://localhost:8080/hook",
    "http://127.0.0.1/hook",
    "http://10.0.0.1/hook",
    "http://169.254.169.254/latest/meta-data"
  ]
}</t>
  </si>
  <si>
    <t>Endpoint and SSRF validation</t>
  </si>
  <si>
    <t>flow, negative, security, connectors, url, ssrf</t>
  </si>
  <si>
    <t>CN-007</t>
  </si>
  <si>
    <t>Connector cancellation</t>
  </si>
  <si>
    <t>Cancel a connector draft without persistence</t>
  </si>
  <si>
    <t>Verify cancelling a uniquely named draft creates no connector.</t>
  </si>
  <si>
    <t xml:space="preserve">1. Enter a unique valid draft.
2. Cancel.
3. Search for the draft name.</t>
  </si>
  <si>
    <t>The cancelled draft is absent from the connector list.</t>
  </si>
  <si>
    <t>flow, connectors, cancel, persistence</t>
  </si>
  <si>
    <t>CN-008</t>
  </si>
  <si>
    <t>Connector country configuration</t>
  </si>
  <si>
    <t>Select each supported connector country</t>
  </si>
  <si>
    <t>Verify the recorded India, USA and UAE allowlist.</t>
  </si>
  <si>
    <t xml:space="preserve">1. Open Create Connector.
2. Select India, USA and UAE.
3. Verify each selection.
4. Restore the configured country and cancel.</t>
  </si>
  <si>
    <t>Only the recorded countries can be selected and each is reflected.</t>
  </si>
  <si>
    <t xml:space="preserve">{
  "countries": [
    "India",
    "USA",
    "UAE"
  ]
}</t>
  </si>
  <si>
    <t>flow, positive, connectors, country, allowlist</t>
  </si>
  <si>
    <t>CN-009</t>
  </si>
  <si>
    <t>Connector wizard</t>
  </si>
  <si>
    <t>Preserve connector values across Back and Next</t>
  </si>
  <si>
    <t>Verify navigation retains valid Information values.</t>
  </si>
  <si>
    <t xml:space="preserve">1. Enter valid Information.
2. Advance to Access.
3. Use Back and verify every value.
4. Advance again and cancel.</t>
  </si>
  <si>
    <t>All valid Information values survive Back and Next navigation.</t>
  </si>
  <si>
    <t>flow, positive, connectors, wizard, data-integrity</t>
  </si>
  <si>
    <t>CN-010</t>
  </si>
  <si>
    <t>Connector access</t>
  </si>
  <si>
    <t>Validate Access controls and cancel without permissions</t>
  </si>
  <si>
    <t>Verify employee search, selected-user count and Owner without saving.</t>
  </si>
  <si>
    <t xml:space="preserve">1. Prepare a valid draft and open Access.
2. Enter and clear employee search.
3. Verify Selected Users is zero and Owner is visible.
4. Cancel.</t>
  </si>
  <si>
    <t>Access controls work without granting or persisting additional access.</t>
  </si>
  <si>
    <t xml:space="preserve">{
  "employeeSearch": "qa-employee-does-not-exist@example.invalid",
  "selectedUsersText": "Selected Users (0)",
  "ownerText": "Owner"
}</t>
  </si>
  <si>
    <t>flow, connectors, access, cancel, authorization</t>
  </si>
  <si>
    <t>CN-011</t>
  </si>
  <si>
    <t>Connector creation</t>
  </si>
  <si>
    <t>Create a date-time-stamped connector</t>
  </si>
  <si>
    <t>Create real synthetic connector data using the run timestamp.</t>
  </si>
  <si>
    <t xml:space="preserve">1. A valid authenticated June session is available.
2. The active business permits QA connector creation.</t>
  </si>
  <si>
    <t xml:space="preserve">1. Enter the unique run-timestamp connector data.
2. Advance to Access and verify Owner.
3. Create the connector.
4. Search for the exact name.</t>
  </si>
  <si>
    <t>Exactly one date-time-stamped connector is created and visible.</t>
  </si>
  <si>
    <t xml:space="preserve">{
  "createButton": "Create"
}</t>
  </si>
  <si>
    <t>flow, write, connectors, create, date-time</t>
  </si>
  <si>
    <t>CN-012</t>
  </si>
  <si>
    <t>Connector creation verification</t>
  </si>
  <si>
    <t>Verify every persisted value after connector creation</t>
  </si>
  <si>
    <t>Reopen the connector and compare saved Information and Access values.</t>
  </si>
  <si>
    <t>1. CN-011 created the connector in the same run.</t>
  </si>
  <si>
    <t xml:space="preserve">1. Open the created connector for editing.
2. Verify name, URL, config, country and description.
3. Verify Owner and zero selected users on Access.
4. Cancel.</t>
  </si>
  <si>
    <t>Every value saved during connector creation persists exactly.</t>
  </si>
  <si>
    <t xml:space="preserve">{
  "selectedUsersText": "Selected Users (0)",
  "ownerText": "Owner"
}</t>
  </si>
  <si>
    <t>flow, connectors, create, persistence, verification</t>
  </si>
  <si>
    <t>CN-013</t>
  </si>
  <si>
    <t>Find the created connector by exact unique name</t>
  </si>
  <si>
    <t>Verify exact search locates only this run connector.</t>
  </si>
  <si>
    <t xml:space="preserve">1. Search for the complete name.
2. Verify its card is visible.
3. Verify unrelated cards are absent.
4. Clear search.</t>
  </si>
  <si>
    <t>Exact search returns the created connector without unrelated results.</t>
  </si>
  <si>
    <t>flow, connectors, search, created-data</t>
  </si>
  <si>
    <t>CN-014</t>
  </si>
  <si>
    <t>Connector edit validation</t>
  </si>
  <si>
    <t>Validate required connector fields while editing</t>
  </si>
  <si>
    <t>Confirm required rules apply in edit mode without saving invalid values.</t>
  </si>
  <si>
    <t xml:space="preserve">1. Open the created connector for editing.
2. Clear name, server URL and config one at a time.
3. Verify each edit remains on Information.
4. Restore values and cancel.</t>
  </si>
  <si>
    <t>Edit mode blocks missing required values and cancellation preserves the connector.</t>
  </si>
  <si>
    <t xml:space="preserve">{
  "invalidEdits": [
    {
      "label": "name is empty",
      "name": "",
      "serverUrl": "{{SERVER_URL}}",
      "config": "{{CONFIG_JSON}}"
    },
    {
      "label": "server URL is empty",
      "name": "{{CONNECTOR_NAME}}",
      "serverUrl": "",
      "config": "{{CONFIG_JSON}}"
    },
    {
      "label": "config is empty",
      "name": "{{CONNECTOR_NAME}}",
      "serverUrl": "{{SERVER_URL}}",
      "config": ""
    }
  ],
  "updateButton": "Update"
}</t>
  </si>
  <si>
    <t>flow, negative, connectors, edit, validation</t>
  </si>
  <si>
    <t>CN-015</t>
  </si>
  <si>
    <t>Connector update</t>
  </si>
  <si>
    <t>Rename and update the created connector</t>
  </si>
  <si>
    <t>Perform the manually recorded edit using timestamped values.</t>
  </si>
  <si>
    <t xml:space="preserve">1. Open the connector for editing.
2. Replace its name, URL and description.
3. Advance to Access.
4. Submit Update.
5. Search for the updated name.</t>
  </si>
  <si>
    <t>The connector is renamed and its updated card remains visible.</t>
  </si>
  <si>
    <t xml:space="preserve">{
  "updateButton": "Update"
}</t>
  </si>
  <si>
    <t>flow, write, connectors, edit, update, date-time</t>
  </si>
  <si>
    <t>CN-016</t>
  </si>
  <si>
    <t>Connector update verification</t>
  </si>
  <si>
    <t>Verify every persisted connector update</t>
  </si>
  <si>
    <t>Reopen the renamed connector and compare changed and unchanged values.</t>
  </si>
  <si>
    <t>1. CN-015 updated the connector in the same run.</t>
  </si>
  <si>
    <t xml:space="preserve">1. Open the updated connector.
2. Verify updated name, URL and description.
3. Verify config and country are unchanged.
4. Verify Access and cancel.</t>
  </si>
  <si>
    <t>All connector updates persist and unchanged values remain intact.</t>
  </si>
  <si>
    <t>flow, connectors, update, persistence, verification</t>
  </si>
  <si>
    <t>CN-017</t>
  </si>
  <si>
    <t>Connector actions</t>
  </si>
  <si>
    <t>Restrict connector card actions to Edit and Delete</t>
  </si>
  <si>
    <t>Verify the recorded action menu on the run-created connector.</t>
  </si>
  <si>
    <t xml:space="preserve">1. Open the connector action menu.
2. Capture every menu item.
3. Verify Edit Connector and Delete.
4. Dismiss without selecting an action.</t>
  </si>
  <si>
    <t>The connector action menu contains exactly Edit Connector and Delete.</t>
  </si>
  <si>
    <t xml:space="preserve">{
  "expectedMenuItems": [
    "Edit Connector",
    "Delete"
  ]
}</t>
  </si>
  <si>
    <t>flow, connectors, actions, allowlist</t>
  </si>
  <si>
    <t>CN-018</t>
  </si>
  <si>
    <t>Connector input security</t>
  </si>
  <si>
    <t>Escape XSS payloads in connector Information</t>
  </si>
  <si>
    <t>Confirm draft values are treated as text.</t>
  </si>
  <si>
    <t xml:space="preserve">1. Set a harmless execution marker.
2. Enter XSS-shaped name, config and description.
3. Verify no execution.
4. Cancel and verify no persistence.</t>
  </si>
  <si>
    <t>Connector Information does not execute or persist the XSS payload.</t>
  </si>
  <si>
    <t xml:space="preserve">{
  "xssPayload": "{{XSS_MARKER}}"
}</t>
  </si>
  <si>
    <t>flow, security, connectors, xss, input-encoding</t>
  </si>
  <si>
    <t>CN-019</t>
  </si>
  <si>
    <t>Connector search security</t>
  </si>
  <si>
    <t>Handle injection-shaped connector searches safely</t>
  </si>
  <si>
    <t>Verify SQL, NoSQL and XSS-like searches are literal.</t>
  </si>
  <si>
    <t xml:space="preserve">1. Capture the initial count.
2. Search with SQL, NoSQL and XSS-like strings.
3. Verify no execution or result expansion.
4. Clear and verify restoration.</t>
  </si>
  <si>
    <t>Injection-shaped search input is handled as literal text without execution.</t>
  </si>
  <si>
    <t>flow, security, connectors, search, injection, xss</t>
  </si>
  <si>
    <t>CN-020</t>
  </si>
  <si>
    <t>Connector data protection</t>
  </si>
  <si>
    <t>Keep synthetic connector secrets out of URLs and closed DOM</t>
  </si>
  <si>
    <t>Verify cancelled config data is not exposed.</t>
  </si>
  <si>
    <t xml:space="preserve">1. Enter a synthetic secret into config and description.
2. Verify the URL excludes it.
3. Cancel.
4. Verify the URL and remaining DOM exclude it.</t>
  </si>
  <si>
    <t>Synthetic draft secrets remain out of URLs and are removed after cancellation.</t>
  </si>
  <si>
    <t>flow, security, connectors, data-protection, cancel</t>
  </si>
  <si>
    <t>CN-021</t>
  </si>
  <si>
    <t>Connector access security</t>
  </si>
  <si>
    <t>Verify injected employee search cannot grant connector access.</t>
  </si>
  <si>
    <t xml:space="preserve">1. Open Access on a valid draft.
2. Enter injection-shaped employee search.
3. Verify zero selected users and Owner.
4. Cancel.</t>
  </si>
  <si>
    <t>Injection-shaped access search grants no additional connector permission.</t>
  </si>
  <si>
    <t xml:space="preserve">{
  "accessSearchPayload": "{{SQL_INJECTION_MARKER}}",
  "selectedUsersText": "Selected Users (0)",
  "ownerText": "Owner"
}</t>
  </si>
  <si>
    <t>flow, security, connectors, access, authorization</t>
  </si>
  <si>
    <t>CN-022</t>
  </si>
  <si>
    <t>Connector transport security</t>
  </si>
  <si>
    <t>Return baseline browser security headers for Connectors</t>
  </si>
  <si>
    <t>Verify HTTPS and baseline browser security headers.</t>
  </si>
  <si>
    <t xml:space="preserve">1. Open the Connectors HTTPS route.
2. Capture response headers.
3. Verify transport, anti-sniffing and browser-policy headers.
4. Verify frame protection.</t>
  </si>
  <si>
    <t>The Connectors document uses HTTPS and returns baseline security headers.</t>
  </si>
  <si>
    <t xml:space="preserve">{
  "requiredHeaders": [
    "strict-transport-security",
    "content-security-policy"
  ],
  "contentTypeOptions": "nosniff"
}</t>
  </si>
  <si>
    <t>flow, security, connectors, headers, https, clickjacking</t>
  </si>
  <si>
    <t>CN-023</t>
  </si>
  <si>
    <t>Connector authentication security</t>
  </si>
  <si>
    <t>Block anonymous access to Connector controls</t>
  </si>
  <si>
    <t>Open Connectors in a clean browser context.</t>
  </si>
  <si>
    <t xml:space="preserve">1. Create a context with no saved session.
2. Open Connectors.
3. Verify search and create controls are unavailable.
4. Close the context.</t>
  </si>
  <si>
    <t>An anonymous browser cannot access authenticated Connector controls.</t>
  </si>
  <si>
    <t xml:space="preserve">{
  "connectorsPath": "/connectors",
  "searchPlaceholder": "Search connectors...",
  "createButton": "Create Connector"
}</t>
  </si>
  <si>
    <t>flow, security, connectors, authentication, anonymous</t>
  </si>
  <si>
    <t>CN-024</t>
  </si>
  <si>
    <t>Connector deletion protection</t>
  </si>
  <si>
    <t>Cancel deletion and preserve the updated connector</t>
  </si>
  <si>
    <t>Open the recorded Delete confirmation, cancel it and preserve the connector.</t>
  </si>
  <si>
    <t xml:space="preserve">1. Choose Delete from the updated connector action menu.
2. Verify the confirmation dialog.
3. Cancel the confirmation.
4. Search for the updated connector.</t>
  </si>
  <si>
    <t>Cancelling deletion preserves the updated connector.</t>
  </si>
  <si>
    <t>flow, connectors, delete, cancel, persistence</t>
  </si>
  <si>
    <t>KB-001</t>
  </si>
  <si>
    <t>Knowledge navigation</t>
  </si>
  <si>
    <t>Open the Knowledge Base module</t>
  </si>
  <si>
    <t>Verify authenticated entry to Knowledge Base and its primary controls.</t>
  </si>
  <si>
    <t xml:space="preserve">1. Open Knowledge Base.
2. Verify the page heading, discovery controls and create action.
3. Verify the existing Knowledge Base list is usable.</t>
  </si>
  <si>
    <t>Knowledge Base opens in the authenticated business and exposes its primary controls.</t>
  </si>
  <si>
    <t xml:space="preserve">{
  "knowledgePath": "/knowledge-base",
  "heading": "Knowledge Base",
  "createButton": "Knowledge Base",
  "searchPlaceholder": "Search knowledge"
}</t>
  </si>
  <si>
    <t>flow, smoke, knowledge, navigation, regression</t>
  </si>
  <si>
    <t>knowledge-data-driven.xlsx</t>
  </si>
  <si>
    <t>KB-002</t>
  </si>
  <si>
    <t>Knowledge discovery</t>
  </si>
  <si>
    <t>Search for a visible Knowledge Base and clear the search</t>
  </si>
  <si>
    <t>Verify discovery against visible business data without changing it.</t>
  </si>
  <si>
    <t xml:space="preserve">1. A valid authenticated June session is available.
2. At least one Knowledge Base is visible.</t>
  </si>
  <si>
    <t xml:space="preserve">1. Capture the visible Knowledge Base names.
2. Search with one visible name.
3. Verify every result matches the search value.
4. Clear search and verify the original list returns.</t>
  </si>
  <si>
    <t>Search returns only matching Knowledge Bases and clearing restores the original list.</t>
  </si>
  <si>
    <t>flow, knowledge, search, regression</t>
  </si>
  <si>
    <t>KB-003</t>
  </si>
  <si>
    <t>Qdrant connection</t>
  </si>
  <si>
    <t>Show the recorded Qdrant connection controls</t>
  </si>
  <si>
    <t>Verify the Qdrant panel, secret masking and safe close behavior.</t>
  </si>
  <si>
    <t xml:space="preserve">1. Open the Qdrant connection panel.
2. Verify the API key, endpoint and Verify Connection controls.
3. Verify the API key control masks entered synthetic text.
4. Close the panel without verifying or saving.</t>
  </si>
  <si>
    <t>The Qdrant panel shows its recorded fields, masks secret input and closes safely.</t>
  </si>
  <si>
    <t xml:space="preserve">{
  "provider": "Qdrant",
  "secretValue": "{{SYNTHETIC_SECRET_PREFIX}}-{{RUN_COMPACT}}",
  "masked": true
}</t>
  </si>
  <si>
    <t>flow, knowledge, qdrant, connection, data-protection</t>
  </si>
  <si>
    <t>KB-004</t>
  </si>
  <si>
    <t>Qdrant connection validation</t>
  </si>
  <si>
    <t>Reject incomplete and unsafe Qdrant connection values</t>
  </si>
  <si>
    <t>Validate required values and block unsafe endpoint shapes without sending credentials.</t>
  </si>
  <si>
    <t xml:space="preserve">1. Try Verify Connection with each required value missing.
2. Try malformed and non-HTTPS endpoint values.
3. Try credential-bearing, localhost, private and link-local endpoints.
4. Verify no provider request is sent for rejected values.</t>
  </si>
  <si>
    <t>Incomplete and unsafe Qdrant values are rejected before any provider request is sent.</t>
  </si>
  <si>
    <t xml:space="preserve">{
  "invalidConnections": [
    {
      "label": "all values empty",
      "apiKey": "",
      "endpoint": ""
    },
    {
      "label": "API key missing",
      "apiKey": "",
      "endpoint": "https://qdrant.example.test:6333"
    },
    {
      "label": "endpoint missing",
      "apiKey": "{{SYNTHETIC_SECRET_PREFIX}}",
      "endpoint": ""
    },
    {
      "label": "malformed endpoint",
      "apiKey": "{{SYNTHETIC_SECRET_PREFIX}}",
      "endpoint": "not-a-url"
    },
    {
      "label": "insecure endpoint",
      "apiKey": "{{SYNTHETIC_SECRET_PREFIX}}",
      "endpoint": "http://qdrant.example.test:6333"
    },
    {
      "label": "script endpoint",
      "apiKey": "{{SYNTHETIC_SECRET_PREFIX}}",
      "endpoint": "javascript:alert(1)"
    },
    {
      "label": "local file endpoint",
      "apiKey": "{{SYNTHETIC_SECRET_PREFIX}}",
      "endpoint": "file:///etc/passwd"
    },
    {
      "label": "credential-bearing endpoint",
      "apiKey": "{{SYNTHETIC_SECRET_PREFIX}}",
      "endpoint": "https://embedded-userinfo@qdrant.example.test:6333"
    },
    {
      "label": "localhost endpoint",
      "apiKey": "{{SYNTHETIC_SECRET_PREFIX}}",
      "endpoint": "https://127.0.0.1:6333"
    },
    {
      "label": "private endpoint",
      "apiKey": "{{SYNTHETIC_SECRET_PREFIX}}",
      "endpoint": "https://10.0.0.1:6333"
    },
    {
      "label": "link-local endpoint",
      "apiKey": "{{SYNTHETIC_SECRET_PREFIX}}",
      "endpoint": "https://169.254.169.254/latest/meta-data/"
    }
  ]
}</t>
  </si>
  <si>
    <t>flow, negative, security, api, knowledge, qdrant, validation, ssrf</t>
  </si>
  <si>
    <t>KB-005</t>
  </si>
  <si>
    <t>Qdrant connection integration</t>
  </si>
  <si>
    <t>Verify Qdrant with environment supplied credentials</t>
  </si>
  <si>
    <t>Exercise the recorded Qdrant verification using secrets read only from the environment.</t>
  </si>
  <si>
    <t xml:space="preserve">1. A valid authenticated June session is available.
2. Approved Qdrant test credentials are available through the configured environment variables.</t>
  </si>
  <si>
    <t xml:space="preserve">1. Open the Qdrant connection panel.
2. Fill the key and endpoint from environment-backed values.
3. Choose Verify Connection.
4. Verify a bounded success result and close the panel.</t>
  </si>
  <si>
    <t>Qdrant verification succeeds without exposing credential values in URLs, logs or evidence.</t>
  </si>
  <si>
    <t xml:space="preserve">{
  "provider": "Qdrant",
  "environmentVariables": {
    "apiKey": "KNOWLEDGE_QDRANT_API_KEY",
    "endpoint": "KNOWLEDGE_QDRANT_ENDPOINT"
  },
  "requiresExternalProvider": true,
  "redactEvidence": true
}</t>
  </si>
  <si>
    <t>flow, integration, api, knowledge, qdrant, connection, secrets</t>
  </si>
  <si>
    <t>KB-006</t>
  </si>
  <si>
    <t>Chroma connection</t>
  </si>
  <si>
    <t>Show the recorded Chroma connection controls</t>
  </si>
  <si>
    <t>Verify the Chroma panel, secret masking and provider selection controls.</t>
  </si>
  <si>
    <t xml:space="preserve">1. Open the Chroma connection panel.
2. Verify API key, tenant, database, collection and Verify Connection controls.
3. Verify secret input is masked.
4. Close the panel without verifying or saving.</t>
  </si>
  <si>
    <t>The Chroma panel exposes the recorded controls, masks secrets and closes safely.</t>
  </si>
  <si>
    <t xml:space="preserve">{
  "provider": "Chroma",
  "secretValue": "{{SYNTHETIC_SECRET_PREFIX}}-{{RUN_COMPACT}}",
  "masked": true
}</t>
  </si>
  <si>
    <t>flow, knowledge, chroma, connection, data-protection</t>
  </si>
  <si>
    <t>KB-007</t>
  </si>
  <si>
    <t>Chroma connection validation</t>
  </si>
  <si>
    <t>Validate every required Chroma connection value</t>
  </si>
  <si>
    <t>Exercise empty, individually missing and whitespace-only Chroma values.</t>
  </si>
  <si>
    <t xml:space="preserve">1. Try Verify Connection with all Chroma values empty.
2. Try with API key and tenant missing one at a time.
3. Try whitespace-only API key and tenant values.
4. Verify the panel remains open and reports actionable validation.</t>
  </si>
  <si>
    <t>Chroma verification is blocked until every required connection value is valid.</t>
  </si>
  <si>
    <t xml:space="preserve">{
  "invalidConnections": [
    {
      "label": "all values empty",
      "apiKey": "",
      "tenant": ""
    },
    {
      "label": "API key missing",
      "apiKey": "",
      "tenant": "qa-synthetic-tenant"
    },
    {
      "label": "tenant missing",
      "apiKey": "{{SYNTHETIC_SECRET_PREFIX}}",
      "tenant": ""
    },
    {
      "label": "whitespace API key",
      "apiKey": "   ",
      "tenant": "qa-synthetic-tenant"
    },
    {
      "label": "whitespace tenant",
      "apiKey": "{{SYNTHETIC_SECRET_PREFIX}}",
      "tenant": "   "
    }
  ]
}</t>
  </si>
  <si>
    <t>flow, negative, knowledge, chroma, validation, required-fields</t>
  </si>
  <si>
    <t>KB-008</t>
  </si>
  <si>
    <t>Chroma connection discovery</t>
  </si>
  <si>
    <t>Load Chroma databases and collections in dependency order</t>
  </si>
  <si>
    <t>Verify collection choices depend on the selected database and stale values are cleared.</t>
  </si>
  <si>
    <t xml:space="preserve">1. A valid authenticated June session is available.
2. Approved Chroma test credentials are available through the configured environment variables.
3. Two approved synthetic Chroma databases are available for dependency testing.</t>
  </si>
  <si>
    <t xml:space="preserve">1. Fill the environment-backed Chroma key and tenant.
2. Select the configured test database.
3. Verify its collection choices load.
4. Change the database and verify a stale collection is cleared.</t>
  </si>
  <si>
    <t>Chroma database and collection choices load in order and never retain an incompatible collection.</t>
  </si>
  <si>
    <t xml:space="preserve">{
  "environmentVariables": {
    "apiKey": "KNOWLEDGE_CHROMA_API_KEY",
    "tenant": "KNOWLEDGE_CHROMA_TENANT",
    "database": "KNOWLEDGE_CHROMA_DATABASE",
    "collection": "KNOWLEDGE_CHROMA_COLLECTION",
    "alternateDatabase": "KNOWLEDGE_CHROMA_ALTERNATE_DATABASE"
  },
  "requiresExternalProvider": true
}</t>
  </si>
  <si>
    <t>flow, integration, api, knowledge, chroma, database, collection</t>
  </si>
  <si>
    <t>KB-009</t>
  </si>
  <si>
    <t>Chroma connection integration</t>
  </si>
  <si>
    <t>Verify Chroma with environment supplied credentials</t>
  </si>
  <si>
    <t>Exercise the recorded Chroma verification without storing credentials in test data.</t>
  </si>
  <si>
    <t xml:space="preserve">1. A valid authenticated June session is available.
2. Approved Chroma test credentials and resource names are available through configured environment variables.</t>
  </si>
  <si>
    <t xml:space="preserve">1. Open the Chroma connection panel.
2. Fill secrets and choose resources from environment-backed values.
3. Choose Verify Connection.
4. Verify a bounded success result without exposing any secret.</t>
  </si>
  <si>
    <t>Chroma verification succeeds and no credential value appears in URLs, logs or evidence.</t>
  </si>
  <si>
    <t xml:space="preserve">{
  "provider": "Chroma",
  "environmentVariables": {
    "apiKey": "KNOWLEDGE_CHROMA_API_KEY",
    "tenant": "KNOWLEDGE_CHROMA_TENANT",
    "database": "KNOWLEDGE_CHROMA_DATABASE",
    "collection": "KNOWLEDGE_CHROMA_COLLECTION"
  },
  "requiresExternalProvider": true,
  "redactEvidence": true
}</t>
  </si>
  <si>
    <t>flow, integration, api, knowledge, chroma, connection, secrets</t>
  </si>
  <si>
    <t>KB-010</t>
  </si>
  <si>
    <t>Knowledge Information validation</t>
  </si>
  <si>
    <t>Validate the required Knowledge Base name</t>
  </si>
  <si>
    <t>Reject empty and whitespace-only names before initialization.</t>
  </si>
  <si>
    <t xml:space="preserve">1. Open the Knowledge Base creation form.
2. Try to continue with an empty name.
3. Try again with a whitespace-only name.
4. Enter a valid timestamped draft name and verify the error clears.
5. Cancel the draft.</t>
  </si>
  <si>
    <t>Only a non-empty trimmed Knowledge Base name satisfies Information validation.</t>
  </si>
  <si>
    <t xml:space="preserve">{
  "invalidNames": [
    "",
    "   ",
    "\t\r\n"
  ],
  "validName": "{{DRAFT_NAME}}"
}</t>
  </si>
  <si>
    <t>flow, negative, knowledge, information, validation, required-fields</t>
  </si>
  <si>
    <t>KB-011</t>
  </si>
  <si>
    <t>Knowledge provider selection</t>
  </si>
  <si>
    <t>Validate the inline provider selector</t>
  </si>
  <si>
    <t>Verify the current inline Provider selector exposes every recorded provider and accepts Chroma.</t>
  </si>
  <si>
    <t xml:space="preserve">1. Open the New Knowledge Base form.
2. Open the inline Provider selector.
3. Verify Qdrant, Chroma and Pinecone are available.
4. Choose Chroma and verify the selected value.
5. Cancel the draft without initializing.</t>
  </si>
  <si>
    <t>The inline Provider selector exposes the recorded providers and retains Chroma within the unsaved draft.</t>
  </si>
  <si>
    <t xml:space="preserve">{
  "providerOptions": [
    "Qdrant",
    "Chroma",
    "Pinecone"
  ],
  "selectedProvider": "Chroma"
}</t>
  </si>
  <si>
    <t>flow, positive, knowledge, provider, chroma, selection</t>
  </si>
  <si>
    <t>KB-012</t>
  </si>
  <si>
    <t>Knowledge embedding configuration</t>
  </si>
  <si>
    <t>Select each recorded embedding model</t>
  </si>
  <si>
    <t>Exercise Embedding Small and Embedding Large in the current inline Embedding Model selector.</t>
  </si>
  <si>
    <t xml:space="preserve">1. Open the New Knowledge Base form.
2. Verify both recorded embedding choices are available.
3. Select Embedding Small and verify its selected state.
4. Select Embedding Large and verify it replaces the previous selection.
5. Restore the configured model and cancel the draft.</t>
  </si>
  <si>
    <t>Both recorded embedding models are selectable and only the current draft selection remains active.</t>
  </si>
  <si>
    <t xml:space="preserve">{
  "embeddingModels": [
    "Embedding Small",
    "Embedding Large"
  ],
  "finalModel": "{{EMBEDDING_MODEL}}"
}</t>
  </si>
  <si>
    <t>flow, positive, knowledge, embedding, selection, data-integrity</t>
  </si>
  <si>
    <t>KB-013</t>
  </si>
  <si>
    <t>Knowledge draft cancellation</t>
  </si>
  <si>
    <t>Cancel unsaved provider and embedding changes</t>
  </si>
  <si>
    <t>Verify Cancel discards provider and embedding choices made in a new Knowledge Base draft.</t>
  </si>
  <si>
    <t xml:space="preserve">1. Open the New Knowledge Base form.
2. Choose Chroma and a non-default embedding model.
3. Choose Cancel without initializing.
4. Reopen the form and verify both selectors show their placeholders.
5. Cancel the reopened draft.</t>
  </si>
  <si>
    <t>Canceling the draft discards the unsaved provider and embedding selections.</t>
  </si>
  <si>
    <t xml:space="preserve">{
  "draftProvider": "Chroma",
  "draftEmbeddingModel": "Embedding Large",
  "providerPlaceholder": "Select provider",
  "embeddingPlaceholder": "Select embedding model"
}</t>
  </si>
  <si>
    <t>flow, knowledge, provider, embedding, cancel, persistence</t>
  </si>
  <si>
    <t>KB-014</t>
  </si>
  <si>
    <t>Knowledge description security</t>
  </si>
  <si>
    <t>Reveal the description field and render payloads as text</t>
  </si>
  <si>
    <t>Exercise the recorded Show control and ensure description input cannot execute markup.</t>
  </si>
  <si>
    <t xml:space="preserve">1. Choose Show to reveal the Knowledge Base description.
2. Verify its recorded guidance text.
3. Enter the configured harmless XSS-shaped marker.
4. Verify no script executes and no markup node is injected.
5. Cancel the draft and verify the marker is not persisted.</t>
  </si>
  <si>
    <t>The description control is revealed on demand and treats the security marker only as text.</t>
  </si>
  <si>
    <t>flow, security, knowledge, description, xss, input-encoding</t>
  </si>
  <si>
    <t>KB-015</t>
  </si>
  <si>
    <t>Knowledge initialization validation</t>
  </si>
  <si>
    <t>Block Initialize until every prerequisite is complete</t>
  </si>
  <si>
    <t>Verify provider verification, Information and connected index configuration independently gate initialization.</t>
  </si>
  <si>
    <t xml:space="preserve">1. Try Initialize without a verified provider.
2. Try with the Knowledge Base name missing.
3. Try with connected provider index configuration missing.
4. Restore all configured prerequisites and verify Initialize becomes available.
5. Cancel without initializing.</t>
  </si>
  <si>
    <t>Initialization is rejected before mutation until provider verification, Information and connected index configuration are valid.</t>
  </si>
  <si>
    <t xml:space="preserve">{
  "missingPrerequisites": [
    "provider verification",
    "Knowledge Base name",
    "connected provider index configuration"
  ],
  "provider": "{{KNOWLEDGE_PROVIDER}}"
}</t>
  </si>
  <si>
    <t>flow, negative, knowledge, initialize, validation, integration</t>
  </si>
  <si>
    <t>KB-016</t>
  </si>
  <si>
    <t>Knowledge initialization</t>
  </si>
  <si>
    <t>Initialize a date-time-stamped Knowledge Base</t>
  </si>
  <si>
    <t>Create one traceable Knowledge Base with approved synthetic run data.</t>
  </si>
  <si>
    <t xml:space="preserve">1. A valid authenticated June session is available.
2. Approved provider test credentials are available through environment variables.
3. The active environment permits explicitly opted-in Knowledge Base writes.</t>
  </si>
  <si>
    <t xml:space="preserve">1. Verify the configured provider using environment-backed values.
2. Enter the unique run name and synthetic description, configure the verified provider index name and embedding model, then explicitly select that collection.
3. Choose Initialize once.
4. Wait for bounded completion and search for the exact created name.</t>
  </si>
  <si>
    <t>Exactly one date-time-stamped Knowledge Base with its connected provider index is initialized and visible in the list.</t>
  </si>
  <si>
    <t xml:space="preserve">{
  "provider": "{{KNOWLEDGE_PROVIDER}}",
  "name": "{{KNOWLEDGE_NAME}}",
  "embeddingModel": "{{EMBEDDING_MODEL}}",
  "description": "{{CREATED_DESCRIPTION}}",
  "requiresWriteOptIn": true,
  "writeOptInEnvironmentVariable": "KNOWLEDGE_ALLOW_WRITES",
  "indexName": "{{INDEX_NAME}}"
}</t>
  </si>
  <si>
    <t>flow, write, e2e, integration, knowledge, initialize, create, date-time</t>
  </si>
  <si>
    <t>KB-017</t>
  </si>
  <si>
    <t>Knowledge creation verification</t>
  </si>
  <si>
    <t>Verify persisted Knowledge Base editor state</t>
  </si>
  <si>
    <t>Reopen the initialized Knowledge Base and compare the values and state exposed by the persisted editor.</t>
  </si>
  <si>
    <t>1. KB-016 initialized the Knowledge Base in the same run.</t>
  </si>
  <si>
    <t xml:space="preserve">1. Open the created Knowledge Base for editing.
2. Verify name and description.
3. Verify the selected provider and Initialized state.
4. Verify the locked provider collection shows the run-specific initialized index.
5. Verify Documents and Access tabs are available.
6. Cancel without changes.</t>
  </si>
  <si>
    <t>The initialized Knowledge Base retains its visible non-secret Information, provider, selected collection and editor state.</t>
  </si>
  <si>
    <t xml:space="preserve">{
  "expectedName": "{{KNOWLEDGE_NAME}}",
  "expectedProvider": "{{KNOWLEDGE_PROVIDER}}",
  "expectedDescription": "{{CREATED_DESCRIPTION}}"
}</t>
  </si>
  <si>
    <t>flow, e2e, knowledge, create, persistence, verification</t>
  </si>
  <si>
    <t>KB-018</t>
  </si>
  <si>
    <t>Knowledge Documents</t>
  </si>
  <si>
    <t>Show the recorded Documents controls</t>
  </si>
  <si>
    <t>Verify the Documents tab, upload input and safe empty-state behavior.</t>
  </si>
  <si>
    <t xml:space="preserve">1. Open the created Knowledge Base for editing.
2. Open Documents.
3. Verify the document list and file upload control.
4. Verify no local path is exposed in the visible page.
5. Cancel without uploading.</t>
  </si>
  <si>
    <t>Documents exposes its recorded upload and list controls without leaking a local file path.</t>
  </si>
  <si>
    <t xml:space="preserve">{
  "tabName": "Documents",
  "fileInputSelector": "input[type=\"file\"]"
}</t>
  </si>
  <si>
    <t>flow, knowledge, documents, upload, data-protection</t>
  </si>
  <si>
    <t>KB-019</t>
  </si>
  <si>
    <t>Knowledge document validation</t>
  </si>
  <si>
    <t>Reject unsafe and unsupported document uploads</t>
  </si>
  <si>
    <t>Validate document type, content and bounded-size rules before upload.</t>
  </si>
  <si>
    <t xml:space="preserve">1. Open Documents on the created Knowledge Base.
2. Try the configured unsupported executable-like fixture.
3. Try a zero-byte or mismatched-content fixture.
4. Try the configured over-limit fixture when supported by the environment.
5. Verify no rejected file appears in the document list.</t>
  </si>
  <si>
    <t>Unsafe and unsupported files are rejected before ingestion and never appear as documents.</t>
  </si>
  <si>
    <t xml:space="preserve">{
  "maximumUploadBytes": 5242880,
  "invalidUploads": [
    {
      "label": "executable extension",
      "name": "knowledge-unsafe-{{RUN_COMPACT}}.exe",
      "mimeType": "application/x-msdownload",
      "body": "Synthetic non-executable QA text."
    },
    {
      "label": "zero-byte document",
      "name": "knowledge-empty-{{RUN_COMPACT}}.txt",
      "mimeType": "text/plain",
      "body": ""
    },
    {
      "label": "mismatched extension and content type",
      "name": "knowledge-mismatch-{{RUN_COMPACT}}.docx",
      "mimeType": "text/html",
      "body": "&lt;p&gt;Synthetic mismatched QA content&lt;/p&gt;"
    },
    {
      "label": "over-limit text document",
      "name": "knowledge-oversize-{{RUN_COMPACT}}.txt",
      "mimeType": "text/plain",
      "sizeBytes": 5242881
    }
  ]
}</t>
  </si>
  <si>
    <t>Unrestricted file upload</t>
  </si>
  <si>
    <t>OWASP A04:2021 Insecure Design</t>
  </si>
  <si>
    <t>flow, negative, security, knowledge, documents, upload, validation</t>
  </si>
  <si>
    <t>KB-020</t>
  </si>
  <si>
    <t>Knowledge document ingestion</t>
  </si>
  <si>
    <t>Upload an approved synthetic Knowledge document</t>
  </si>
  <si>
    <t>Upload the configured synthetic fixture to the run-created Knowledge Base.</t>
  </si>
  <si>
    <t xml:space="preserve">1. KB-016 initialized the Knowledge Base in the same run.
2. The approved synthetic Knowledge document fixture exists.
3. The active environment permits explicitly opted-in Knowledge Base writes.</t>
  </si>
  <si>
    <t xml:space="preserve">1. Open Documents on the created Knowledge Base.
2. Upload the configured synthetic document fixture once.
3. Wait for bounded ingestion completion.
4. Verify the exact file name appears once.</t>
  </si>
  <si>
    <t>The approved synthetic document is ingested once and becomes visible in Documents.</t>
  </si>
  <si>
    <t xml:space="preserve">{
  "document": {
    "name": "knowledge-test-{{RUN_COMPACT}}.txt",
    "mimeType": "text/plain",
    "body": "Approved synthetic Knowledge document generated at {{RUN_ISO}}. No customer or production data."
  },
  "requiresWriteOptIn": true,
  "writeOptInEnvironmentVariable": "KNOWLEDGE_ALLOW_WRITES"
}</t>
  </si>
  <si>
    <t>flow, write, e2e, integration, knowledge, documents, upload</t>
  </si>
  <si>
    <t>KB-021</t>
  </si>
  <si>
    <t>Knowledge document integration</t>
  </si>
  <si>
    <t>Open the uploaded document and preserve its metadata</t>
  </si>
  <si>
    <t>Verify the recorded document selection and persisted file identity.</t>
  </si>
  <si>
    <t>1. KB-020 uploaded the synthetic document in the same run.</t>
  </si>
  <si>
    <t xml:space="preserve">1. Reopen Documents for the created Knowledge Base.
2. Verify the uploaded file appears exactly once.
3. Select the exact document name.
4. Verify the document surface opens without navigating to an unsafe origin.
5. Return without changing the document.</t>
  </si>
  <si>
    <t>The ingested document remains uniquely identifiable and opens only in an approved application surface.</t>
  </si>
  <si>
    <t xml:space="preserve">{
  "expectedDocumentName": "knowledge-test-{{RUN_COMPACT}}.txt",
  "approvedOriginOnly": true
}</t>
  </si>
  <si>
    <t>flow, integration, knowledge, documents, persistence, verification</t>
  </si>
  <si>
    <t>KB-022</t>
  </si>
  <si>
    <t>Knowledge Access</t>
  </si>
  <si>
    <t>Validate Access search, selected users and Owner</t>
  </si>
  <si>
    <t>Exercise recorded Access controls without granting permission.</t>
  </si>
  <si>
    <t xml:space="preserve">1. Open Access on the created Knowledge Base.
2. Verify Owner is visible.
3. Enter and clear the configured non-existent employee search.
4. Verify Selected Users remains zero.
5. Cancel without updating.</t>
  </si>
  <si>
    <t>Access search works, Owner remains visible and no user is selected or granted access.</t>
  </si>
  <si>
    <t xml:space="preserve">{
  "employeeSearch": "{{NONEXISTENT_EMPLOYEE_SEARCH}}",
  "selectedUsersText": "Selected Users (0)",
  "ownerText": "Owner"
}</t>
  </si>
  <si>
    <t>flow, knowledge, access, authorization, cancel</t>
  </si>
  <si>
    <t>KB-023</t>
  </si>
  <si>
    <t>Knowledge Access security</t>
  </si>
  <si>
    <t>Prevent injected Access search from selecting users</t>
  </si>
  <si>
    <t>Verify injection-shaped employee search cannot broaden or grant Knowledge access.</t>
  </si>
  <si>
    <t xml:space="preserve">1. Open Access on the created Knowledge Base.
2. Enter each configured injection-shaped employee search value.
3. Verify no injected markup executes and no unexpected user appears.
4. Verify Selected Users remains zero and Owner remains visible.
5. Cancel without updating.</t>
  </si>
  <si>
    <t>Injection-shaped Access searches remain literal and grant no Knowledge Base permission.</t>
  </si>
  <si>
    <t xml:space="preserve">{
  "accessSearchPayloads": [
    "{{SQL_INJECTION_MARKER}}",
    "{\"$ne\":null}",
    "{{XSS_MARKER}}"
  ],
  "selectedUsersText": "Selected Users (0)",
  "ownerText": "Owner"
}</t>
  </si>
  <si>
    <t>flow, security, knowledge, access, authorization, injection</t>
  </si>
  <si>
    <t>KB-024</t>
  </si>
  <si>
    <t>Knowledge Access update</t>
  </si>
  <si>
    <t>Update Access with the recorded zero-user selection</t>
  </si>
  <si>
    <t>Exercise the recorded Update action while retaining Owner-only access.</t>
  </si>
  <si>
    <t xml:space="preserve">1. KB-016 initialized the Knowledge Base in the same run.
2. The active environment permits explicitly opted-in Knowledge Base writes.</t>
  </si>
  <si>
    <t xml:space="preserve">1. Open Access on the created Knowledge Base.
2. Verify Selected Users is zero and Owner is visible.
3. Choose Update once.
4. Reopen Access and verify the Owner-only state persists.</t>
  </si>
  <si>
    <t>Access Update completes once and preserves Owner-only access with zero selected users.</t>
  </si>
  <si>
    <t xml:space="preserve">{
  "selectedUsersText": "Selected Users (0)",
  "ownerText": "Owner",
  "updateButton": "Update",
  "requiresWriteOptIn": true,
  "writeOptInEnvironmentVariable": "KNOWLEDGE_ALLOW_WRITES"
}</t>
  </si>
  <si>
    <t>flow, write, e2e, knowledge, access, update, authorization</t>
  </si>
  <si>
    <t>KB-025</t>
  </si>
  <si>
    <t>Knowledge card actions</t>
  </si>
  <si>
    <t>Restrict Knowledge Base card actions to Edit and Delete</t>
  </si>
  <si>
    <t>Verify the recorded action menu on the run-created Knowledge Base.</t>
  </si>
  <si>
    <t xml:space="preserve">1. Open the action menu on the exact created Knowledge Base.
2. Capture every visible menu item.
3. Verify Edit and Delete are present with no unexpected action.
4. Dismiss the menu without selecting an action.</t>
  </si>
  <si>
    <t>The Knowledge Base action menu contains only the expected Edit and Delete actions.</t>
  </si>
  <si>
    <t xml:space="preserve">{
  "expectedMenuItems": [
    "Edit",
    "Delete"
  ]
}</t>
  </si>
  <si>
    <t>flow, knowledge, actions, edit, delete, allowlist</t>
  </si>
  <si>
    <t>KB-026</t>
  </si>
  <si>
    <t>Knowledge edit validation</t>
  </si>
  <si>
    <t>Validate required Knowledge Base values while editing</t>
  </si>
  <si>
    <t>Confirm edit mode blocks invalid Information without corrupting persisted data.</t>
  </si>
  <si>
    <t xml:space="preserve">1. Open the created Knowledge Base for editing.
2. Clear its name and try Update.
3. Try a whitespace-only name and verify Update remains blocked.
4. Restore the original name and cancel.
5. Reopen and verify the original values remain intact.</t>
  </si>
  <si>
    <t>Edit validation blocks invalid values and cancellation preserves the initialized Knowledge Base.</t>
  </si>
  <si>
    <t xml:space="preserve">{
  "invalidEdits": [
    {
      "label": "name is empty",
      "name": ""
    },
    {
      "label": "name is whitespace only",
      "name": "   "
    }
  ],
  "updateButton": "Update"
}</t>
  </si>
  <si>
    <t>flow, negative, knowledge, edit, validation, data-integrity</t>
  </si>
  <si>
    <t>KB-027</t>
  </si>
  <si>
    <t>Knowledge update</t>
  </si>
  <si>
    <t>Rename and update the created Knowledge Base</t>
  </si>
  <si>
    <t>Perform the recorded edit with new date-time-stamped synthetic values.</t>
  </si>
  <si>
    <t xml:space="preserve">1. Open the created Knowledge Base for editing.
2. Replace its name and description with update timestamp values.
3. Visit Documents, Access and Information to verify tab state is retained.
4. Choose Update once.
5. Search for the exact updated name.</t>
  </si>
  <si>
    <t>The Knowledge Base is renamed once and its updated description is saved.</t>
  </si>
  <si>
    <t xml:space="preserve">{
  "updatedName": "{{UPDATED_KNOWLEDGE_NAME}}",
  "updatedDescription": "{{UPDATED_DESCRIPTION}}",
  "requiresWriteOptIn": true,
  "writeOptInEnvironmentVariable": "KNOWLEDGE_ALLOW_WRITES"
}</t>
  </si>
  <si>
    <t>flow, write, e2e, knowledge, edit, update, date-time</t>
  </si>
  <si>
    <t>KB-028</t>
  </si>
  <si>
    <t>Knowledge update verification</t>
  </si>
  <si>
    <t>Verify persisted updates across every Knowledge tab</t>
  </si>
  <si>
    <t>Compare updated Information with unchanged Documents, Access and the persisted read-only provider collection and embedding model.</t>
  </si>
  <si>
    <t>1. KB-027 updated the Knowledge Base in the same run.</t>
  </si>
  <si>
    <t xml:space="preserve">1. Open the updated Knowledge Base for editing.
2. Verify updated name and description.
3. Verify the locked provider collection and embedding model shown by the initialized editor.
4. Verify the uploaded document remains present.
5. Verify Owner-only Access remains present and cancel.</t>
  </si>
  <si>
    <t>Updated Information persists while the read-only provider collection, embedding model, document and Access state remain intact.</t>
  </si>
  <si>
    <t xml:space="preserve">{
  "expectedName": "{{UPDATED_KNOWLEDGE_NAME}}",
  "expectedDescription": "{{UPDATED_DESCRIPTION}}",
  "expectedProvider": "{{KNOWLEDGE_PROVIDER}}",
  "expectedEmbeddingModel": "{{EMBEDDING_MODEL}}",
  "expectedDocumentName": "knowledge-test-{{RUN_COMPACT}}.txt",
  "selectedUsersText": "Selected Users (0)",
  "ownerText": "Owner",
  "expectedIndexName": "{{INDEX_NAME}}"
}</t>
  </si>
  <si>
    <t>flow, e2e, integration, knowledge, update, persistence, verification</t>
  </si>
  <si>
    <t>KB-029</t>
  </si>
  <si>
    <t>Knowledge deletion protection</t>
  </si>
  <si>
    <t>Cancel deletion and preserve the updated Knowledge Base</t>
  </si>
  <si>
    <t>Open the recorded Delete confirmation and cancel without data loss.</t>
  </si>
  <si>
    <t xml:space="preserve">1. Choose Delete from the exact updated Knowledge Base action menu.
2. Verify the confirmation identifies the intended Knowledge Base.
3. Choose Cancel.
4. Search for the updated name and verify its document remains present.</t>
  </si>
  <si>
    <t>Cancelling deletion preserves the updated Knowledge Base and its ingested document.</t>
  </si>
  <si>
    <t>flow, knowledge, delete, cancel, destructive-action, persistence</t>
  </si>
  <si>
    <t>KB-030</t>
  </si>
  <si>
    <t>Knowledge cleanup deletion</t>
  </si>
  <si>
    <t>Delete only the run-created Knowledge Base with explicit opt-in</t>
  </si>
  <si>
    <t>Clean up the uniquely named run artifact behind both write and destructive guards.</t>
  </si>
  <si>
    <t xml:space="preserve">1. KB-027 updated the Knowledge Base in the same run.
2. The active environment permits explicitly opted-in Knowledge Base writes.
3. Destructive Knowledge cleanup is explicitly enabled for this run.</t>
  </si>
  <si>
    <t xml:space="preserve">1. Search for the exact unique updated name.
2. Open Delete and verify the confirmation identifies that exact run artifact.
3. Confirm Delete once.
4. Search again and verify the run artifact is absent.</t>
  </si>
  <si>
    <t>Only the uniquely named run-created Knowledge Base is deleted and no unrelated data changes.</t>
  </si>
  <si>
    <t xml:space="preserve">{
  "deleteButton": "Delete",
  "requiresWriteOptIn": true,
  "writeOptInEnvironmentVariable": "KNOWLEDGE_ALLOW_WRITES",
  "requiresDeleteOptIn": true,
  "deleteOptInEnvironmentVariable": "KNOWLEDGE_ALLOW_DELETE",
  "destructive": true
}</t>
  </si>
  <si>
    <t>flow, write, e2e, knowledge, delete, cleanup, destructive-action</t>
  </si>
  <si>
    <t>GR-001</t>
  </si>
  <si>
    <t>Guardrail navigation</t>
  </si>
  <si>
    <t>Open the Guardrails module</t>
  </si>
  <si>
    <t>Verify authenticated entry to the Guardrails module.</t>
  </si>
  <si>
    <t xml:space="preserve">1. Open Guardrails.
2. Verify the heading, search control and Create Guardrail action.</t>
  </si>
  <si>
    <t>The Guardrails page opens and is ready for authenticated interaction.</t>
  </si>
  <si>
    <t>flow, smoke, guardrails, navigation</t>
  </si>
  <si>
    <t>guardrails-data-driven.xlsx</t>
  </si>
  <si>
    <t>GR-002</t>
  </si>
  <si>
    <t>Guardrail discovery</t>
  </si>
  <si>
    <t>Search for a visible guardrail and clear the search</t>
  </si>
  <si>
    <t xml:space="preserve">1. A valid authenticated June session is available.
2. At least one guardrail is visible.</t>
  </si>
  <si>
    <t xml:space="preserve">1. Capture the visible guardrail names.
2. Search with one visible guardrail name.
3. Verify every result matches.
4. Clear search and verify the original list returns.</t>
  </si>
  <si>
    <t>Search returns matching guardrails and clearing restores the original list.</t>
  </si>
  <si>
    <t>flow, guardrails, search, regression</t>
  </si>
  <si>
    <t>GR-003</t>
  </si>
  <si>
    <t>Switch Guardrail layouts and refresh the list</t>
  </si>
  <si>
    <t>Exercise both recorded layouts and the refresh action.</t>
  </si>
  <si>
    <t xml:space="preserve">1. Select grid layout.
2. Select list layout.
3. Refresh the guardrail list.
4. Verify the page remains usable.</t>
  </si>
  <si>
    <t>Both layouts select correctly and refresh completes without losing page controls.</t>
  </si>
  <si>
    <t xml:space="preserve">{
  "viewIndexes": [
    0,
    1
  ],
  "refreshIndex": 2
}</t>
  </si>
  <si>
    <t>flow, guardrails, layout, refresh, regression</t>
  </si>
  <si>
    <t>GR-004</t>
  </si>
  <si>
    <t>Guardrail creation form</t>
  </si>
  <si>
    <t>Show every recorded Guardrail field and type</t>
  </si>
  <si>
    <t>Verify required basics, tabs and all input and output guardrail choices.</t>
  </si>
  <si>
    <t xml:space="preserve">1. Open Create Guardrail.
2. Verify required Name and Description controls.
3. Verify Input, Output and Access tabs.
4. Verify Contains PII, Moderation and Jailbreak on Input.
5. Verify URL Filter and Contains PII on Output.
6. Cancel.</t>
  </si>
  <si>
    <t>All recorded fields, tabs and Guardrail types are available.</t>
  </si>
  <si>
    <t xml:space="preserve">{
  "tabs": [
    "Input",
    "Output",
    "Access"
  ],
  "inputTypes": [
    "Contains PII",
    "Moderation",
    "Jailbreak"
  ],
  "outputTypes": [
    "URL Filter",
    "Contains PII"
  ]
}</t>
  </si>
  <si>
    <t>flow, guardrails, create, form, types</t>
  </si>
  <si>
    <t>GR-005</t>
  </si>
  <si>
    <t>Guardrail creation validation</t>
  </si>
  <si>
    <t>Validate every required Guardrail field</t>
  </si>
  <si>
    <t>Exercise empty and individually missing required values.</t>
  </si>
  <si>
    <t xml:space="preserve">1. Try Next with Name and Description empty.
2. Try Next with only Name.
3. Try Next with only Description.
4. Enter both values and verify Output opens.
5. Cancel.</t>
  </si>
  <si>
    <t>Missing required values remain on Input while complete values advance to Output.</t>
  </si>
  <si>
    <t xml:space="preserve">{
  "invalidBasics": [
    {
      "label": "both fields are empty",
      "name": "",
      "description": ""
    },
    {
      "label": "name is present and description is empty",
      "name": "{{DRAFT_NAME}}",
      "description": ""
    },
    {
      "label": "name is empty and description is present",
      "name": "",
      "description": "{{CREATED_DESCRIPTION}}"
    }
  ]
}</t>
  </si>
  <si>
    <t>flow, negative, guardrails, validation, required-fields</t>
  </si>
  <si>
    <t>GR-006</t>
  </si>
  <si>
    <t>Reject whitespace-only Guardrail basics</t>
  </si>
  <si>
    <t>Verify required text values are trimmed before wizard progression.</t>
  </si>
  <si>
    <t xml:space="preserve">1. Open Create Guardrail.
2. Enter spaces in Name and Description.
3. Choose Next.
4. Verify Input remains active.
5. Cancel.</t>
  </si>
  <si>
    <t>Whitespace-only Name and Description are rejected and cannot advance.</t>
  </si>
  <si>
    <t xml:space="preserve">{
  "whitespaceName": "   ",
  "whitespaceDescription": "   "
}</t>
  </si>
  <si>
    <t>flow, negative, guardrails, validation, whitespace</t>
  </si>
  <si>
    <t>GR-007</t>
  </si>
  <si>
    <t>Guardrail cancellation</t>
  </si>
  <si>
    <t>Cancel a Guardrail draft without persistence</t>
  </si>
  <si>
    <t>Verify cancelling a uniquely named draft creates no Guardrail.</t>
  </si>
  <si>
    <t xml:space="preserve">1. Enter a unique valid draft.
2. Enable Jailbreak.
3. Cancel the wizard.
4. Search for the draft name.</t>
  </si>
  <si>
    <t>The cancelled Guardrail draft is absent from the list.</t>
  </si>
  <si>
    <t>flow, guardrails, cancel, persistence</t>
  </si>
  <si>
    <t>GR-008</t>
  </si>
  <si>
    <t>Input PII settings</t>
  </si>
  <si>
    <t>Show all eight PII identity choices</t>
  </si>
  <si>
    <t>Verify the recorded Indian identity allowlist and settings controls.</t>
  </si>
  <si>
    <t xml:space="preserve">1. Open Contains PII settings.
2. Verify Aadhaar, PAN, Voter ID, Driving License, Passport, IFSC, UPI and Ration Card.
3. Verify PII Entities and Fallback Message.
4. Close without saving.</t>
  </si>
  <si>
    <t>Contains PII displays exactly eight recorded identity choices and its configuration fields.</t>
  </si>
  <si>
    <t xml:space="preserve">{
  "identityLabels": [
    "Aadhaar Number",
    "PAN Card",
    "Voter ID",
    "Driving License",
    "Passport Number",
    "IFSC Code",
    "UPI ID",
    "Ration Card"
  ],
  "identityCount": 8,
  "entityPlaceholder": "Add entity name (e.g. email, phone, name)",
  "fallbackPlaceholder": "Required message when Contains PII is triggered"
}</t>
  </si>
  <si>
    <t>flow, positive, guardrails, pii, identities</t>
  </si>
  <si>
    <t>GR-009</t>
  </si>
  <si>
    <t>Select and clear every PII identity</t>
  </si>
  <si>
    <t>Verify Select all and clear behavior across all eight identities.</t>
  </si>
  <si>
    <t xml:space="preserve">1. Open Contains PII settings.
2. Choose Select all.
3. Verify all eight identities are checked.
4. Choose Select all again.
5. Verify all identities are cleared.
6. Close.</t>
  </si>
  <si>
    <t>Select all checks every identity and the second selection clears every identity.</t>
  </si>
  <si>
    <t xml:space="preserve">{
  "identityCount": 8
}</t>
  </si>
  <si>
    <t>flow, positive, guardrails, pii, select-all</t>
  </si>
  <si>
    <t>GR-010</t>
  </si>
  <si>
    <t>Validate and save a custom PII entity</t>
  </si>
  <si>
    <t>Verify empty entity input is ignored and valid custom input is retained in the draft.</t>
  </si>
  <si>
    <t xml:space="preserve">1. Open Contains PII settings.
2. Choose Add with an empty entity.
3. Verify no blank entity is added.
4. Add the configured custom entity and fallback message.
5. Save settings and verify Contains PII is enabled.
6. Cancel the Guardrail draft.</t>
  </si>
  <si>
    <t>Blank entities are ignored while a valid custom entity and fallback save in the draft.</t>
  </si>
  <si>
    <t xml:space="preserve">{
  "customEntity": "{{PII_CUSTOM_ENTITY}}",
  "fallbackMessage": "{{PII_FALLBACK_MESSAGE}}"
}</t>
  </si>
  <si>
    <t>flow, guardrails, pii, validation, custom-entity</t>
  </si>
  <si>
    <t>GR-011</t>
  </si>
  <si>
    <t>Input Moderation settings</t>
  </si>
  <si>
    <t>Show all thirteen moderation categories</t>
  </si>
  <si>
    <t>Verify every moderation classifier recorded from the live dialog.</t>
  </si>
  <si>
    <t xml:space="preserve">1. Open Moderation settings.
2. Verify all thirteen category codes.
3. Verify Fallback Message.
4. Close without saving.</t>
  </si>
  <si>
    <t>Moderation displays exactly thirteen recorded classifier categories.</t>
  </si>
  <si>
    <t xml:space="preserve">{
  "moderationCodes": [
    "sexual",
    "sexual/minors",
    "hate",
    "hate/threatening",
    "harassment",
    "harassment/threatening",
    "self-harm",
    "self-harm/intent",
    "self-harm/instructions",
    "violence",
    "violence/graphic",
    "illicit",
    "illicit/violent"
  ],
  "categoryCount": 13,
  "fallbackPlaceholder": "Required message when Moderation is triggered"
}</t>
  </si>
  <si>
    <t>flow, positive, guardrails, moderation, categories</t>
  </si>
  <si>
    <t>GR-012</t>
  </si>
  <si>
    <t>Select and clear every moderation category</t>
  </si>
  <si>
    <t>Verify Select all and Clear behavior plus fallback-message saving.</t>
  </si>
  <si>
    <t xml:space="preserve">1. Open Moderation settings.
2. Select all categories and verify all thirteen.
3. Choose Clear and verify none remain selected.
4. Select configured categories.
5. Enter the fallback message and save.
6. Cancel the Guardrail draft.</t>
  </si>
  <si>
    <t>All moderation categories can be selected, cleared and configured with a fallback.</t>
  </si>
  <si>
    <t xml:space="preserve">{
  "categoryCount": 13,
  "selectedCodes": [
    "sexual",
    "hate",
    "violence"
  ],
  "fallbackMessage": "{{MODERATION_FALLBACK_MESSAGE}}"
}</t>
  </si>
  <si>
    <t>flow, positive, guardrails, moderation, select-all</t>
  </si>
  <si>
    <t>GR-013</t>
  </si>
  <si>
    <t>Input Jailbreak</t>
  </si>
  <si>
    <t>Toggle the Jailbreak input Guardrail</t>
  </si>
  <si>
    <t>Verify the recorded direct toggle behavior for Jailbreak detection.</t>
  </si>
  <si>
    <t xml:space="preserve">1. Open Create Guardrail.
2. Enable Jailbreak.
3. Verify it is checked.
4. Disable Jailbreak and verify it is unchecked.
5. Cancel.</t>
  </si>
  <si>
    <t>Jailbreak can be enabled and disabled without opening a settings dialog.</t>
  </si>
  <si>
    <t>flow, positive, guardrails, jailbreak, toggle</t>
  </si>
  <si>
    <t>GR-014</t>
  </si>
  <si>
    <t>Output Guardrails</t>
  </si>
  <si>
    <t>Configure and toggle both output Guardrail types</t>
  </si>
  <si>
    <t>Verify URL Filter and Contains PII output settings and independent state.</t>
  </si>
  <si>
    <t xml:space="preserve">1. Open Output.
2. Configure URL Filter allow-list and fallback values.
3. Configure output Contains PII identity, entity and fallback values.
4. Verify both types are checked.
5. Disable both and verify both are unchecked.
6. Cancel.</t>
  </si>
  <si>
    <t>Both output types save their recorded settings and toggle independently.</t>
  </si>
  <si>
    <t xml:space="preserve">{
  "allowedUrl": "https://example.com/guardrails/{{RUN_COMPACT}}",
  "urlFallback": "URL blocked by QA policy at {{RUN_DISPLAY}}.",
  "selectedIdentity": "PAN Card",
  "customEntity": "{{PII_CUSTOM_ENTITY}}",
  "piiFallback": "{{PII_FALLBACK_MESSAGE}}"
}</t>
  </si>
  <si>
    <t>flow, positive, guardrails, output, toggle</t>
  </si>
  <si>
    <t>GR-015</t>
  </si>
  <si>
    <t>Guardrail wizard</t>
  </si>
  <si>
    <t>Preserve Guardrail values across tabs and Back</t>
  </si>
  <si>
    <t>Verify wizard navigation retains basic values and enabled types.</t>
  </si>
  <si>
    <t xml:space="preserve">1. Enter valid basics and enable Jailbreak.
2. Advance to Output and enable URL Filter.
3. Advance to Access.
4. Use Back twice.
5. Verify values and switches remain selected.
6. Cancel.</t>
  </si>
  <si>
    <t>Guardrail values and type selections survive forward and backward navigation.</t>
  </si>
  <si>
    <t xml:space="preserve">{
  "allowedUrl": "https://example.com/guardrails/{{RUN_COMPACT}}/wizard",
  "urlFallback": "Wizard URL blocked at {{RUN_DISPLAY}}."
}</t>
  </si>
  <si>
    <t>flow, positive, guardrails, wizard, data-integrity</t>
  </si>
  <si>
    <t>GR-016</t>
  </si>
  <si>
    <t>Guardrail access</t>
  </si>
  <si>
    <t>Validate Access controls and Owner</t>
  </si>
  <si>
    <t xml:space="preserve">1. Prepare a valid draft and open Access.
2. Enter and clear employee search.
3. Verify Selected Users is zero.
4. Verify Owner is visible.
5. Cancel.</t>
  </si>
  <si>
    <t>flow, guardrails, access, authorization, cancel</t>
  </si>
  <si>
    <t>GR-017</t>
  </si>
  <si>
    <t>Guardrail creation</t>
  </si>
  <si>
    <t>Create a date-time-stamped Guardrail</t>
  </si>
  <si>
    <t>Create real synthetic Guardrail data using the run timestamp.</t>
  </si>
  <si>
    <t xml:space="preserve">1. A valid authenticated June session is available.
2. The active business permits QA Guardrail creation.</t>
  </si>
  <si>
    <t xml:space="preserve">1. Enter the unique timestamped name and description.
2. Configure Contains PII with a selected identity, custom entity and fallback.
3. Configure both Output Guardrails.
4. Verify Access Owner.
5. Create the Guardrail and search for its exact name.</t>
  </si>
  <si>
    <t>Exactly one date-time-stamped Guardrail is created and visible.</t>
  </si>
  <si>
    <t xml:space="preserve">{
  "selectedIdentity": "PAN Card",
  "customEntity": "{{PII_CUSTOM_ENTITY}}",
  "fallbackMessage": "{{PII_FALLBACK_MESSAGE}}",
  "allowedUrl": "https://example.com/guardrails/{{RUN_COMPACT}}",
  "urlFallback": "URL blocked by QA policy at {{RUN_DISPLAY}}.",
  "outputSelectedIdentity": "PAN Card",
  "outputCustomEntity": "{{PII_CUSTOM_ENTITY}}_output",
  "outputFallback": "{{PII_FALLBACK_MESSAGE}}",
  "selectedUsersText": "Selected Users (0)",
  "ownerText": "Owner"
}</t>
  </si>
  <si>
    <t>flow, write, guardrails, create, date-time</t>
  </si>
  <si>
    <t>GR-018</t>
  </si>
  <si>
    <t>Guardrail creation verification</t>
  </si>
  <si>
    <t>Verify persisted Guardrail creation values</t>
  </si>
  <si>
    <t>Reopen the created Guardrail and compare its basic and type selections.</t>
  </si>
  <si>
    <t>1. GR-017 created the Guardrail in the same run.</t>
  </si>
  <si>
    <t xml:space="preserve">1. Open the created Guardrail for editing.
2. Verify Name and Description.
3. Verify Contains PII is enabled on Input.
4. Verify URL Filter and Contains PII are enabled on Output.
5. Verify Access Owner and cancel.</t>
  </si>
  <si>
    <t>The created Guardrail retains its basic values and selected input and output types.</t>
  </si>
  <si>
    <t>flow, guardrails, create, persistence, verification</t>
  </si>
  <si>
    <t>GR-019</t>
  </si>
  <si>
    <t>Find the created Guardrail by exact unique name</t>
  </si>
  <si>
    <t>Verify exact search locates only the current run Guardrail.</t>
  </si>
  <si>
    <t xml:space="preserve">1. Search for the complete unique name.
2. Verify its card is visible.
3. Verify unrelated cards are absent.
4. Clear search.</t>
  </si>
  <si>
    <t>Exact search returns the created Guardrail without unrelated results.</t>
  </si>
  <si>
    <t>flow, guardrails, search, created-data</t>
  </si>
  <si>
    <t>GR-020</t>
  </si>
  <si>
    <t>Guardrail edit validation</t>
  </si>
  <si>
    <t>Validate required Guardrail fields while editing</t>
  </si>
  <si>
    <t xml:space="preserve">1. Open the created Guardrail for editing.
2. Clear Name and try Update.
3. Restore Name, clear Description and try Update.
4. Restore valid values and cancel.</t>
  </si>
  <si>
    <t>Edit mode blocks each missing required value and cancellation preserves the Guardrail.</t>
  </si>
  <si>
    <t xml:space="preserve">{
  "invalidEdits": [
    {
      "label": "name is empty",
      "name": "",
      "description": "{{CREATED_DESCRIPTION}}"
    },
    {
      "label": "description is empty",
      "name": "{{GUARDRAIL_NAME}}",
      "description": ""
    }
  ],
  "updateButton": "Update"
}</t>
  </si>
  <si>
    <t>flow, negative, guardrails, edit, validation</t>
  </si>
  <si>
    <t>GR-021</t>
  </si>
  <si>
    <t>Guardrail update</t>
  </si>
  <si>
    <t>Rename and update the created Guardrail</t>
  </si>
  <si>
    <t>Perform the recorded edit with timestamped values and expanded protections.</t>
  </si>
  <si>
    <t xml:space="preserve">1. Open the created Guardrail for editing.
2. Replace its Name and Description.
3. Enable Moderation and Jailbreak.
4. Retain output Contains PII and disable URL Filter.
5. Submit Update and search for the updated name.</t>
  </si>
  <si>
    <t>The Guardrail is renamed and its updated protection choices are saved.</t>
  </si>
  <si>
    <t xml:space="preserve">{
  "selectedModerationCodes": [
    "sexual",
    "hate",
    "violence"
  ],
  "moderationFallback": "{{MODERATION_FALLBACK_MESSAGE}}"
}</t>
  </si>
  <si>
    <t>flow, write, guardrails, edit, update, date-time</t>
  </si>
  <si>
    <t>GR-022</t>
  </si>
  <si>
    <t>Guardrail update verification</t>
  </si>
  <si>
    <t>Verify every persisted Guardrail update</t>
  </si>
  <si>
    <t>Reopen the renamed Guardrail and compare changed values and type states.</t>
  </si>
  <si>
    <t>1. GR-021 updated the Guardrail in the same run.</t>
  </si>
  <si>
    <t xml:space="preserve">1. Open the updated Guardrail.
2. Verify updated Name and Description.
3. Verify Contains PII, Moderation and Jailbreak are enabled on Input.
4. Verify URL Filter is disabled and output Contains PII remains enabled.
5. Verify Access Owner and cancel.</t>
  </si>
  <si>
    <t>The persisted name state from GR-021 and all non-name Guardrail updates remain intact.</t>
  </si>
  <si>
    <t>flow, guardrails, update, persistence, verification</t>
  </si>
  <si>
    <t>GR-023</t>
  </si>
  <si>
    <t>Guardrail actions</t>
  </si>
  <si>
    <t>Restrict Guardrail card actions to Edit and Delete</t>
  </si>
  <si>
    <t>Verify the recorded action menu on the run-created Guardrail.</t>
  </si>
  <si>
    <t xml:space="preserve">1. Open the Guardrail action menu.
2. Capture every menu item.
3. Verify Edit and Delete.
4. Dismiss without selecting an action.</t>
  </si>
  <si>
    <t>The Guardrail action menu contains exactly Edit and Delete.</t>
  </si>
  <si>
    <t>flow, guardrails, actions, allowlist</t>
  </si>
  <si>
    <t>GR-024</t>
  </si>
  <si>
    <t>Guardrail input security</t>
  </si>
  <si>
    <t>Escape XSS payloads in Guardrail text fields</t>
  </si>
  <si>
    <t>Confirm unsaved Name, Description, custom entity and fallback values remain text.</t>
  </si>
  <si>
    <t xml:space="preserve">1. Set a harmless execution marker.
2. Enter XSS-shaped basics and PII settings.
3. Verify no script execution.
4. Cancel and verify no persistence.</t>
  </si>
  <si>
    <t>Guardrail text fields do not execute or persist the XSS payload.</t>
  </si>
  <si>
    <t>flow, security, guardrails, xss, input-encoding</t>
  </si>
  <si>
    <t>GR-025</t>
  </si>
  <si>
    <t>Guardrail search security</t>
  </si>
  <si>
    <t>Handle injection-shaped Guardrail searches safely</t>
  </si>
  <si>
    <t>Verify SQL, NoSQL and XSS-like searches are treated literally.</t>
  </si>
  <si>
    <t xml:space="preserve">1. Capture the initial Guardrail names.
2. Search with SQL, NoSQL and XSS-like strings.
3. Verify no execution or result expansion.
4. Clear search and verify restoration.</t>
  </si>
  <si>
    <t>Injection-shaped search input remains literal and does not execute or expand results.</t>
  </si>
  <si>
    <t>flow, security, guardrails, search, injection, xss</t>
  </si>
  <si>
    <t>GR-026</t>
  </si>
  <si>
    <t>Guardrail data protection</t>
  </si>
  <si>
    <t>Keep synthetic secrets out of URLs and closed DOM</t>
  </si>
  <si>
    <t>Verify cancelled Guardrail data is removed from the visible application.</t>
  </si>
  <si>
    <t xml:space="preserve">1. Enter a synthetic secret in an unsaved draft.
2. Verify the URL excludes it.
3. Cancel the wizard.
4. Verify the URL and remaining DOM exclude it.</t>
  </si>
  <si>
    <t>Synthetic draft secrets remain out of URLs and disappear after cancellation.</t>
  </si>
  <si>
    <t>flow, security, guardrails, data-protection, cancel</t>
  </si>
  <si>
    <t>GR-027</t>
  </si>
  <si>
    <t>Guardrail access security</t>
  </si>
  <si>
    <t>Verify injected employee search cannot grant Guardrail access.</t>
  </si>
  <si>
    <t xml:space="preserve">1. Open Access on a valid draft.
2. Enter injection-shaped employee search.
3. Verify Selected Users remains zero.
4. Verify Owner remains visible and cancel.</t>
  </si>
  <si>
    <t>Injection-shaped access search grants no additional Guardrail permission.</t>
  </si>
  <si>
    <t>flow, security, guardrails, access, authorization</t>
  </si>
  <si>
    <t>GR-028</t>
  </si>
  <si>
    <t>Guardrail transport security</t>
  </si>
  <si>
    <t>Return baseline browser security headers for Guardrails</t>
  </si>
  <si>
    <t xml:space="preserve">1. Open the Guardrails HTTPS route.
2. Capture response headers.
3. Verify transport, anti-sniffing and browser-policy headers.
4. Verify frame protection.</t>
  </si>
  <si>
    <t>The Guardrails document uses HTTPS and returns baseline security headers.</t>
  </si>
  <si>
    <t>flow, security, guardrails, headers, https, clickjacking</t>
  </si>
  <si>
    <t>GR-029</t>
  </si>
  <si>
    <t>Guardrail authentication security</t>
  </si>
  <si>
    <t>Block anonymous access to Guardrail controls</t>
  </si>
  <si>
    <t>Open Guardrails in a clean browser context.</t>
  </si>
  <si>
    <t xml:space="preserve">1. Create a context with no saved session.
2. Open Guardrails.
3. Verify search and create controls are unavailable.
4. Close the context.</t>
  </si>
  <si>
    <t>An anonymous browser cannot access authenticated Guardrail controls.</t>
  </si>
  <si>
    <t xml:space="preserve">{
  "guardrailsPath": "/guardrails",
  "searchPlaceholder": "Search guardrails...",
  "createButton": "Create Guardrail"
}</t>
  </si>
  <si>
    <t>flow, security, guardrails, authentication, anonymous</t>
  </si>
  <si>
    <t>GR-030</t>
  </si>
  <si>
    <t>Guardrail deletion protection</t>
  </si>
  <si>
    <t>Cancel deletion and preserve the updated Guardrail</t>
  </si>
  <si>
    <t>Open Delete confirmation, cancel it and preserve the Guardrail.</t>
  </si>
  <si>
    <t xml:space="preserve">1. Choose Delete from the updated Guardrail action menu.
2. Verify the confirmation names the exact Guardrail.
3. Cancel the confirmation.
4. Search for the updated Guardrail.</t>
  </si>
  <si>
    <t>Cancelling deletion preserves the updated Guardrail.</t>
  </si>
  <si>
    <t>flow, guardrails, delete, cancel, persistence</t>
  </si>
  <si>
    <t>UC-001</t>
  </si>
  <si>
    <t>UI Component navigation</t>
  </si>
  <si>
    <t>Open the UI Components module</t>
  </si>
  <si>
    <t>Verify authenticated entry to the UI Components module.</t>
  </si>
  <si>
    <t xml:space="preserve">1. Open UI Components.
2. Verify the heading, search control and Create UI Component action.</t>
  </si>
  <si>
    <t>The UI Components page opens and is ready for authenticated interaction.</t>
  </si>
  <si>
    <t>flow, smoke, ui-components, navigation</t>
  </si>
  <si>
    <t>ui-components-data-driven.xlsx</t>
  </si>
  <si>
    <t>UC-002</t>
  </si>
  <si>
    <t>UI Component discovery</t>
  </si>
  <si>
    <t>Search for a visible UI Component and clear the search</t>
  </si>
  <si>
    <t>Verify search behavior against the current component list.</t>
  </si>
  <si>
    <t xml:space="preserve">1. A valid authenticated June session is available.
2. At least one UI Component is visible.</t>
  </si>
  <si>
    <t xml:space="preserve">1. Capture the visible component names.
2. Search using one visible component name.
3. Verify every displayed result matches.
4. Clear search and verify the original list returns.</t>
  </si>
  <si>
    <t>Search returns matching UI Components and clearing restores the original list.</t>
  </si>
  <si>
    <t>flow, ui-components, search, regression</t>
  </si>
  <si>
    <t>UC-003</t>
  </si>
  <si>
    <t>Switch layouts and refresh UI Components</t>
  </si>
  <si>
    <t xml:space="preserve">1. Select the first component layout.
2. Select the second component layout.
3. Refresh the list.
4. Verify the page remains usable.</t>
  </si>
  <si>
    <t>flow, ui-components, layout, refresh, regression</t>
  </si>
  <si>
    <t>UC-004</t>
  </si>
  <si>
    <t>UI Component creation form</t>
  </si>
  <si>
    <t>Show every recorded UI Component field and wizard section</t>
  </si>
  <si>
    <t>Verify Information, Designs and Visibility plus their core controls.</t>
  </si>
  <si>
    <t xml:space="preserve">1. Open Create UI Component.
2. Verify Name, Description and Component Type.
3. Verify Information, Designs and Visibility tabs.
4. Verify Cancel, Create and Next actions.
5. Cancel the draft.</t>
  </si>
  <si>
    <t>All recorded fields, wizard sections and primary actions are available.</t>
  </si>
  <si>
    <t xml:space="preserve">{
  "tabs": [
    "Information",
    "Designs",
    "Visibility"
  ],
  "requiredFields": [
    "Name *",
    "Description *",
    "Component Type *"
  ],
  "actions": [
    "Cancel",
    "Create",
    "Next"
  ]
}</t>
  </si>
  <si>
    <t>flow, ui-components, create, form, validation</t>
  </si>
  <si>
    <t>UC-005</t>
  </si>
  <si>
    <t>UI Component type selection</t>
  </si>
  <si>
    <t>Show all eight recorded component types</t>
  </si>
  <si>
    <t>Verify every component layout type captured by the manual flow.</t>
  </si>
  <si>
    <t xml:space="preserve">1. Open the Component Type selector.
2. Verify Table, Form, Card, List, Chart, Catalog, Checkout and Suggestion List.
3. Close the selector and cancel.</t>
  </si>
  <si>
    <t>The selector contains exactly the eight recorded component types.</t>
  </si>
  <si>
    <t xml:space="preserve">{
  "componentTypes": [
    "Table",
    "Form",
    "Card",
    "List",
    "Chart",
    "Catalog",
    "Checkout",
    "Suggestion List"
  ]
}</t>
  </si>
  <si>
    <t>flow, ui-components, types, positive</t>
  </si>
  <si>
    <t>UC-006</t>
  </si>
  <si>
    <t>UI Component creation validation</t>
  </si>
  <si>
    <t>Reject a missing UI Component name</t>
  </si>
  <si>
    <t>Verify the required Name field blocks wizard progression.</t>
  </si>
  <si>
    <t xml:space="preserve">1. Enter Description and Component Type but leave Name empty.
2. Choose Next.
3. Verify Information remains active.
4. Cancel.</t>
  </si>
  <si>
    <t>A missing Name is rejected and cannot advance to Designs.</t>
  </si>
  <si>
    <t xml:space="preserve">{
  "name": "",
  "description": "Valid UI Component description",
  "componentType": "{{COMPONENT_TYPE}}"
}</t>
  </si>
  <si>
    <t>flow, negative, ui-components, validation, required-name</t>
  </si>
  <si>
    <t>UC-007</t>
  </si>
  <si>
    <t>Reject a missing UI Component description</t>
  </si>
  <si>
    <t>Verify the required Description field blocks wizard progression.</t>
  </si>
  <si>
    <t xml:space="preserve">1. Enter Name and Component Type but leave Description empty.
2. Choose Next.
3. Verify Information remains active.
4. Cancel.</t>
  </si>
  <si>
    <t>A missing Description is rejected and cannot advance to Designs.</t>
  </si>
  <si>
    <t xml:space="preserve">{
  "name": "{{DRAFT_NAME}}",
  "description": "",
  "componentType": "{{COMPONENT_TYPE}}"
}</t>
  </si>
  <si>
    <t>flow, negative, ui-components, validation, required-description</t>
  </si>
  <si>
    <t>UC-008</t>
  </si>
  <si>
    <t>Reject a missing UI Component type</t>
  </si>
  <si>
    <t>Verify the required Component Type blocks wizard progression.</t>
  </si>
  <si>
    <t xml:space="preserve">1. Enter Name and Description but leave Component Type empty.
2. Choose Next.
3. Verify Information remains active.
4. Cancel.</t>
  </si>
  <si>
    <t>A missing Component Type is rejected and cannot advance to Designs.</t>
  </si>
  <si>
    <t xml:space="preserve">{
  "name": "{{DRAFT_NAME}}",
  "description": "{{CREATED_DESCRIPTION}}",
  "componentType": ""
}</t>
  </si>
  <si>
    <t>flow, negative, ui-components, validation, required-type</t>
  </si>
  <si>
    <t>UC-009</t>
  </si>
  <si>
    <t>Reject whitespace-only UI Component basics</t>
  </si>
  <si>
    <t>Verify required text values are trimmed before progression.</t>
  </si>
  <si>
    <t xml:space="preserve">1. Enter spaces in Name and Description.
2. Choose a Component Type and select Next.
3. Verify Information remains active.
4. Cancel.</t>
  </si>
  <si>
    <t>Whitespace-only Name and Description are rejected.</t>
  </si>
  <si>
    <t xml:space="preserve">{
  "whitespaceName": "   ",
  "whitespaceDescription": "   ",
  "componentType": "{{COMPONENT_TYPE}}"
}</t>
  </si>
  <si>
    <t>flow, negative, ui-components, validation, whitespace</t>
  </si>
  <si>
    <t>UC-010</t>
  </si>
  <si>
    <t>UI Component cancellation</t>
  </si>
  <si>
    <t>Cancel a UI Component draft without persistence</t>
  </si>
  <si>
    <t>Verify cancelling a uniquely named draft creates no component.</t>
  </si>
  <si>
    <t xml:space="preserve">1. Enter a unique valid draft.
2. Navigate to Designs.
3. Cancel the wizard.
4. Search for the draft name.</t>
  </si>
  <si>
    <t>The cancelled UI Component draft is absent from the list.</t>
  </si>
  <si>
    <t>flow, ui-components, cancel, persistence</t>
  </si>
  <si>
    <t>UC-011</t>
  </si>
  <si>
    <t>UI Component wizard</t>
  </si>
  <si>
    <t>Preserve values across Next, Back and tabs</t>
  </si>
  <si>
    <t>Verify wizard navigation retains Information and Designs values.</t>
  </si>
  <si>
    <t xml:space="preserve">1. Enter valid Information values.
2. Advance to Designs and enter a prompt.
3. Advance to Visibility.
4. Use Back to return through Designs and Information.
5. Verify all entered values remain.
6. Cancel.</t>
  </si>
  <si>
    <t>Information and design prompt values survive forward and backward navigation.</t>
  </si>
  <si>
    <t xml:space="preserve">{
  "prompt": "{{DESIGN_PROMPT}}"
}</t>
  </si>
  <si>
    <t>flow, ui-components, wizard, data-integrity, regression</t>
  </si>
  <si>
    <t>UC-012</t>
  </si>
  <si>
    <t>UI Component design</t>
  </si>
  <si>
    <t>Validate recorded JSON and React editor controls</t>
  </si>
  <si>
    <t>Verify prompt, read-only JSON, React code, Format, Run and output viewer controls.</t>
  </si>
  <si>
    <t xml:space="preserve">1. Open Designs for a valid draft.
2. Verify the design prompt and both editors.
3. Verify generated JSON is read-only before generation.
4. Verify Format is disabled before JSON exists.
5. Verify Run and the empty output guidance.
6. Cancel.</t>
  </si>
  <si>
    <t>All recorded design controls have the expected initial state.</t>
  </si>
  <si>
    <t xml:space="preserve">{
  "prompt": "A simple table with a visible QA marker and representative values.",
  "formatButton": "Format",
  "runButton": "Run",
  "jsonPlaceholder": "{ \"component_name\", \"component_type\", \"data\": { ... } }",
  "reactPlaceholder": "Generate or write React code"
}</t>
  </si>
  <si>
    <t>flow, ui-components, design, json, react, validation</t>
  </si>
  <si>
    <t>UC-013</t>
  </si>
  <si>
    <t>UI Component generation</t>
  </si>
  <si>
    <t>Generate JSON and React code and run the live preview</t>
  </si>
  <si>
    <t>Exercise the recorded Generate to Run path with a timestamped marker.</t>
  </si>
  <si>
    <t xml:space="preserve">1. Enter valid component information and a timestamped design prompt.
2. Generate JSON and React code.
3. Validate the generated schema and React export.
4. Run the preview.
5. Verify the timestamped marker is rendered.
6. Cancel without persistence.</t>
  </si>
  <si>
    <t>Generation returns valid component JSON and React code and Run renders the requested preview.</t>
  </si>
  <si>
    <t>flow, ui-components, generation, json, react, preview, date-time</t>
  </si>
  <si>
    <t>UC-014</t>
  </si>
  <si>
    <t>UI Component visibility</t>
  </si>
  <si>
    <t>Validate Visibility controls and Owner access</t>
  </si>
  <si>
    <t xml:space="preserve">1. Prepare a valid draft and open Visibility.
2. Enter and clear employee search.
3. Verify Selected Users is zero.
4. Verify Owner is visible.
5. Cancel.</t>
  </si>
  <si>
    <t>Visibility controls work without granting or persisting additional access.</t>
  </si>
  <si>
    <t>flow, ui-components, visibility, access, validation</t>
  </si>
  <si>
    <t>UC-015</t>
  </si>
  <si>
    <t>UI Component visibility validation</t>
  </si>
  <si>
    <t>Keep unmatched Visibility searches unselected</t>
  </si>
  <si>
    <t>Verify an unknown employee search does not alter selected access.</t>
  </si>
  <si>
    <t xml:space="preserve">1. Open Visibility on a valid draft.
2. Search for a nonexistent employee.
3. Verify Selected Users remains zero.
4. Verify Owner remains visible.
5. Cancel.</t>
  </si>
  <si>
    <t>An unmatched employee search grants no UI Component access.</t>
  </si>
  <si>
    <t xml:space="preserve">{
  "accessSearch": "qa-employee-does-not-exist@example.invalid",
  "selectedUsersText": "Selected Users (0)",
  "ownerText": "Owner"
}</t>
  </si>
  <si>
    <t>flow, ui-components, visibility, negative, authorization</t>
  </si>
  <si>
    <t>UC-016</t>
  </si>
  <si>
    <t>UI Component accessibility</t>
  </si>
  <si>
    <t>Give layout and card action controls accessible names</t>
  </si>
  <si>
    <t>Verify icon-only discovery controls expose meaningful accessible names.</t>
  </si>
  <si>
    <t xml:space="preserve">1. Inspect the three layout and refresh controls.
2. Inspect each visible card action trigger.
3. Verify every icon-only button has an accessible name.</t>
  </si>
  <si>
    <t>Layout, refresh and card action controls expose unique accessible names.</t>
  </si>
  <si>
    <t xml:space="preserve">{
  "layoutControlCount": 3,
  "requireAccessibleNames": true
}</t>
  </si>
  <si>
    <t>flow, ui-components, accessibility, a11y, negative</t>
  </si>
  <si>
    <t>UC-017</t>
  </si>
  <si>
    <t>UI Component creation</t>
  </si>
  <si>
    <t>Create a date-time-stamped generated UI Component</t>
  </si>
  <si>
    <t>Create real synthetic component data using the run timestamp.</t>
  </si>
  <si>
    <t xml:space="preserve">1. A valid authenticated June session is available.
2. The active business permits UI Component creation.</t>
  </si>
  <si>
    <t xml:space="preserve">1. Enter the unique timestamped name and description.
2. Choose the configured component type.
3. Generate JSON and React code from the timestamped prompt.
4. Run and verify the preview.
5. Verify Visibility Owner and create the component.
6. Search for its exact name.</t>
  </si>
  <si>
    <t>Exactly one date-time-stamped generated UI Component is created and visible.</t>
  </si>
  <si>
    <t xml:space="preserve">{
  "componentType": "{{COMPONENT_TYPE}}",
  "prompt": "{{DESIGN_PROMPT}}"
}</t>
  </si>
  <si>
    <t>flow, write, ui-components, create, generation, date-time</t>
  </si>
  <si>
    <t>UC-018</t>
  </si>
  <si>
    <t>UI Component creation verification</t>
  </si>
  <si>
    <t>Verify persisted UI Component creation values</t>
  </si>
  <si>
    <t>Reopen the created component and compare Information, Designs and Visibility.</t>
  </si>
  <si>
    <t>1. UC-017 created the UI Component in the same run.</t>
  </si>
  <si>
    <t xml:space="preserve">1. Open the created UI Component for editing.
2. Verify Name, Description and Component Type.
3. Verify generated JSON and React code were retained.
4. Verify Visibility Owner.
5. Cancel.</t>
  </si>
  <si>
    <t>The created UI Component retains all generated and entered values.</t>
  </si>
  <si>
    <t xml:space="preserve">{
  "componentType": "{{COMPONENT_TYPE}}"
}</t>
  </si>
  <si>
    <t>flow, ui-components, create, persistence, verification</t>
  </si>
  <si>
    <t>UC-019</t>
  </si>
  <si>
    <t>Find the created UI Component by exact unique name</t>
  </si>
  <si>
    <t>Verify exact search locates only the current run component.</t>
  </si>
  <si>
    <t>Exact search returns the created UI Component without unrelated results.</t>
  </si>
  <si>
    <t>flow, ui-components, search, created-data, regression</t>
  </si>
  <si>
    <t>UC-020</t>
  </si>
  <si>
    <t>UI Component edit validation</t>
  </si>
  <si>
    <t>Validate required fields while editing</t>
  </si>
  <si>
    <t>Confirm required Information rules apply in edit mode without saving invalid values.</t>
  </si>
  <si>
    <t xml:space="preserve">1. Open the created UI Component for editing.
2. Clear Name and try to advance.
3. Restore Name, clear Description and try to advance.
4. Restore valid values and cancel.</t>
  </si>
  <si>
    <t>Edit mode blocks each missing required value and cancellation preserves the component.</t>
  </si>
  <si>
    <t xml:space="preserve">{
  "invalidEdits": [
    {
      "label": "name is empty",
      "name": "",
      "description": "{{CREATED_DESCRIPTION}}"
    },
    {
      "label": "description is empty",
      "name": "{{UI_COMPONENT_NAME}}",
      "description": ""
    }
  ]
}</t>
  </si>
  <si>
    <t>flow, negative, ui-components, edit, validation</t>
  </si>
  <si>
    <t>UC-021</t>
  </si>
  <si>
    <t>UI Component update</t>
  </si>
  <si>
    <t>Rename, regenerate and update the UI Component</t>
  </si>
  <si>
    <t>Perform the recorded edit with timestamped values and a different component type.</t>
  </si>
  <si>
    <t xml:space="preserve">1. Open the created UI Component for editing.
2. Replace Name, Description and Component Type.
3. Regenerate JSON and React code using the updated timestamped prompt.
4. Run and verify the updated preview.
5. Submit Update and search for the updated name.</t>
  </si>
  <si>
    <t>The UI Component is renamed and its updated type and generated design are saved.</t>
  </si>
  <si>
    <t xml:space="preserve">{
  "updatedComponentType": "{{UPDATED_COMPONENT_TYPE}}",
  "updatedPrompt": "{{UPDATED_DESIGN_PROMPT}}"
}</t>
  </si>
  <si>
    <t>flow, write, ui-components, edit, update, generation, date-time</t>
  </si>
  <si>
    <t>UC-022</t>
  </si>
  <si>
    <t>UI Component update verification</t>
  </si>
  <si>
    <t>Verify every persisted UI Component update</t>
  </si>
  <si>
    <t>Reopen the renamed component and compare changed values and generated design.</t>
  </si>
  <si>
    <t>1. UC-021 updated the UI Component in the same run.</t>
  </si>
  <si>
    <t xml:space="preserve">1. Open the updated UI Component.
2. Verify updated Name, Description and Component Type.
3. Verify updated JSON and React code.
4. Verify Visibility Owner and cancel.</t>
  </si>
  <si>
    <t>Every updated UI Component value remains persisted.</t>
  </si>
  <si>
    <t xml:space="preserve">{
  "componentType": "{{UPDATED_COMPONENT_TYPE}}"
}</t>
  </si>
  <si>
    <t>flow, ui-components, update, persistence, verification</t>
  </si>
  <si>
    <t>UC-023</t>
  </si>
  <si>
    <t>UI Component actions</t>
  </si>
  <si>
    <t>Restrict component card actions to Edit and Delete</t>
  </si>
  <si>
    <t>Verify the recorded action menu on the run-created UI Component.</t>
  </si>
  <si>
    <t xml:space="preserve">1. Open the updated component action menu.
2. Capture every menu item.
3. Verify Edit and Delete.
4. Dismiss without selecting an action.</t>
  </si>
  <si>
    <t>The UI Component action menu contains exactly Edit and Delete.</t>
  </si>
  <si>
    <t>flow, ui-components, actions, allowlist, regression</t>
  </si>
  <si>
    <t>UC-024</t>
  </si>
  <si>
    <t>UI Component input security</t>
  </si>
  <si>
    <t>Escape XSS payloads in UI Component fields</t>
  </si>
  <si>
    <t>Confirm unsaved Information and Designs input remains inert text.</t>
  </si>
  <si>
    <t xml:space="preserve">1. Set a harmless execution marker.
2. Enter XSS-shaped Information and Designs values.
3. Verify no script execution.
4. Cancel and verify no persistence.</t>
  </si>
  <si>
    <t>UI Component fields do not execute or persist the XSS payload.</t>
  </si>
  <si>
    <t>flow, security, ui-components, xss, input-encoding</t>
  </si>
  <si>
    <t>UC-025</t>
  </si>
  <si>
    <t>UI Component search security</t>
  </si>
  <si>
    <t>Handle injection-shaped UI Component searches safely</t>
  </si>
  <si>
    <t xml:space="preserve">1. Capture the initial component names.
2. Search with SQL, NoSQL and XSS-like strings.
3. Verify no execution or result expansion.
4. Clear search and verify restoration.</t>
  </si>
  <si>
    <t>flow, security, ui-components, search, injection, xss</t>
  </si>
  <si>
    <t>UC-026</t>
  </si>
  <si>
    <t>UI Component data protection</t>
  </si>
  <si>
    <t>Verify cancelled UI Component data is removed from the visible application.</t>
  </si>
  <si>
    <t>flow, security, ui-components, data-protection, cancel</t>
  </si>
  <si>
    <t>UC-027</t>
  </si>
  <si>
    <t>UI Component access security</t>
  </si>
  <si>
    <t>Prevent Visibility search injection from selecting users</t>
  </si>
  <si>
    <t>Verify injected employee search cannot grant UI Component access.</t>
  </si>
  <si>
    <t xml:space="preserve">1. Open Visibility on a valid draft.
2. Enter injection-shaped employee search.
3. Verify Selected Users remains zero.
4. Verify Owner remains visible and cancel.</t>
  </si>
  <si>
    <t>Injection-shaped Visibility search grants no additional permission.</t>
  </si>
  <si>
    <t>flow, security, ui-components, access, authorization</t>
  </si>
  <si>
    <t>UC-028</t>
  </si>
  <si>
    <t>UI Component transport security</t>
  </si>
  <si>
    <t>Return baseline browser security headers for UI Components</t>
  </si>
  <si>
    <t xml:space="preserve">1. Open the UI Components HTTPS route.
2. Capture response headers.
3. Verify transport, anti-sniffing and browser-policy headers.
4. Verify frame protection.</t>
  </si>
  <si>
    <t>The UI Components document uses HTTPS and returns baseline security headers.</t>
  </si>
  <si>
    <t xml:space="preserve">{
  "requiredHeaders": [
    "strict-transport-security",
    "content-security-policy"
  ],
  "frameProtectionHeaders": [
    "content-security-policy",
    "x-frame-options"
  ],
  "contentTypeOptions": "nosniff"
}</t>
  </si>
  <si>
    <t>flow, security, ui-components, headers, https, clickjacking</t>
  </si>
  <si>
    <t>UC-029</t>
  </si>
  <si>
    <t>UI Component authentication security</t>
  </si>
  <si>
    <t>Block anonymous access to UI Component controls</t>
  </si>
  <si>
    <t>Verify a fresh browser context cannot expose authenticated component controls.</t>
  </si>
  <si>
    <t xml:space="preserve">1. Open UI Components in a fresh context without storage state.
2. Wait for authentication handling.
3. Verify search and Create UI Component are not exposed.</t>
  </si>
  <si>
    <t>Anonymous users cannot view authenticated UI Component controls.</t>
  </si>
  <si>
    <t xml:space="preserve">{
  "uiComponentsPath": "/ui-components",
  "searchPlaceholder": "Search ui components...",
  "createButton": "Create UI Component"
}</t>
  </si>
  <si>
    <t>Authentication and authorization</t>
  </si>
  <si>
    <t>OWASP A01:2021 Broken Access Control; OWASP A07:2021 Identification and Authentication Failures</t>
  </si>
  <si>
    <t>flow, security, ui-components, authentication, authorization</t>
  </si>
  <si>
    <t>UC-030</t>
  </si>
  <si>
    <t>UI Component deletion</t>
  </si>
  <si>
    <t>Cancel then confirm deletion of the synthetic UI Component</t>
  </si>
  <si>
    <t>Verify delete confirmation and remove only the component created by this run.</t>
  </si>
  <si>
    <t>1. UC-021 updated the synthetic UI Component in the same run.</t>
  </si>
  <si>
    <t xml:space="preserve">1. Open Delete for the updated component.
2. Cancel and verify the component remains.
3. Open Delete again and confirm.
4. Search for the exact name and verify it is absent.</t>
  </si>
  <si>
    <t>Cancel preserves the component, while confirmed deletion removes only the synthetic run component.</t>
  </si>
  <si>
    <t>flow, write, ui-components, delete, cleanup, regression</t>
  </si>
  <si>
    <t>PT-001</t>
  </si>
  <si>
    <t>Platform overview tour</t>
  </si>
  <si>
    <t>Complete the Platform Overview guided tour</t>
  </si>
  <si>
    <t>Verify the seven recorded platform guidance steps and completion action.</t>
  </si>
  <si>
    <t xml:space="preserve">1. A valid authenticated June session is available.
2. The active business exposes Explore June AI.</t>
  </si>
  <si>
    <t xml:space="preserve">1. Open Explore June AI from the authenticated account menu.
2. Launch Platform Overview.
3. Verify all seven ordered step descriptions and counters.
4. Complete the tour with Done.</t>
  </si>
  <si>
    <t>The Platform Overview tour shows all seven recorded steps on Task and closes with Done.</t>
  </si>
  <si>
    <t>{"tourEntry":"Platform Overview","expectedStartPath":"/task","expectedFinalPath":"/task","steps":["Welcome to June AI.","Start a conversation","Ask anything","Choose your model","Build your stack","Organize work","You're ready"]}</t>
  </si>
  <si>
    <t>flow, product-tour, platform-overview, navigation</t>
  </si>
  <si>
    <t>product-tour-data-driven.xlsx</t>
  </si>
  <si>
    <t>Mapped from the DEV Codegen tour and verified against the live step text.</t>
  </si>
  <si>
    <t>PT-002</t>
  </si>
  <si>
    <t>Agents tour</t>
  </si>
  <si>
    <t>Complete the Agents guided tour without creating an agent</t>
  </si>
  <si>
    <t>Verify discovery and all New Agent setup guidance without submitting business data.</t>
  </si>
  <si>
    <t xml:space="preserve">1. Launch Agents from Explore June AI.
2. Verify the four discovery and create-introduction steps.
3. Verify all twelve New Agent guidance steps.
4. Choose Done and cancel the empty draft.</t>
  </si>
  <si>
    <t>All sixteen Agents steps appear in order and the empty New Agent draft is exited without creation.</t>
  </si>
  <si>
    <t>{"tourEntry":"Agents","expectedStartPath":"/agents","expectedFinalPath":"/agents","steps":["Welcome to Agents.","Find agents quickly","Browse by type","Create an agent","New Agent","Setup steps","Information","Instructions","Tools","Connectors","Swarm","Knowledge","Guardrail","UI Component","Access","Save your agent"]}</t>
  </si>
  <si>
    <t>flow, product-tour, agents, e2e</t>
  </si>
  <si>
    <t>PT-003</t>
  </si>
  <si>
    <t>Tools tour</t>
  </si>
  <si>
    <t>Complete the Tools guided tour without creating a tool</t>
  </si>
  <si>
    <t>Verify tool discovery, API Details and Access guidance without saving.</t>
  </si>
  <si>
    <t xml:space="preserve">1. Launch Tools from Explore June AI.
2. Verify all ten ordered tour steps.
3. Choose Done and cancel the empty tool draft.</t>
  </si>
  <si>
    <t>All ten Tools steps appear in order and no Tool is created.</t>
  </si>
  <si>
    <t>{"tourEntry":"Tools","expectedStartPath":"/tools","expectedFinalPath":"/tools","steps":["Welcome to Tools.","Find tools quickly","Browse by type","Create a tool","New Tool","Setup steps","Information","API Details","Access","Save your tool"]}</t>
  </si>
  <si>
    <t>flow, product-tour, tools, e2e</t>
  </si>
  <si>
    <t>PT-004</t>
  </si>
  <si>
    <t>Connectors tour</t>
  </si>
  <si>
    <t>Complete the Connectors guided tour without creating a connector</t>
  </si>
  <si>
    <t>Verify connector discovery, Information and Access guidance without saving.</t>
  </si>
  <si>
    <t xml:space="preserve">1. Launch Connectors from Explore June AI.
2. Verify all seven ordered tour steps.
3. Choose Done and cancel the empty connector draft.</t>
  </si>
  <si>
    <t>All seven Connectors steps appear in order and no Connector is created.</t>
  </si>
  <si>
    <t>{"tourEntry":"Connectors","expectedStartPath":"/connectors","expectedFinalPath":"/connectors","steps":["Find connectors quickly","Create a connector","New Connector","Setup steps","Information","Access","Save your connector"]}</t>
  </si>
  <si>
    <t>flow, product-tour, connectors, e2e</t>
  </si>
  <si>
    <t>PT-005</t>
  </si>
  <si>
    <t>Knowledge tour</t>
  </si>
  <si>
    <t>Complete the Knowledge guided tour without creating a knowledge base</t>
  </si>
  <si>
    <t>Verify provider, discovery, Documents and Access guidance without initialization.</t>
  </si>
  <si>
    <t xml:space="preserve">1. Launch Knowledge from Explore June AI.
2. Verify all ten ordered tour steps.
3. Choose Done and cancel the empty Knowledge Base draft.</t>
  </si>
  <si>
    <t>All ten Knowledge steps appear in order and no Knowledge Base is initialized.</t>
  </si>
  <si>
    <t>{"tourEntry":"Knowledge","expectedStartPath":"/knowledge-base","expectedFinalPath":"/knowledge-base","steps":["Welcome to Knowledge Bases.","Choose a provider","Find knowledge quickly","Create a knowledge base","New Knowledge Base","Setup steps","Information","Documents","Access","Save your knowledge base"]}</t>
  </si>
  <si>
    <t>flow, product-tour, knowledge, e2e</t>
  </si>
  <si>
    <t>PT-006</t>
  </si>
  <si>
    <t>Guardrails tour</t>
  </si>
  <si>
    <t>Complete the Guardrails guided tour without creating a guardrail</t>
  </si>
  <si>
    <t>Verify guardrail discovery, API Details and Access guidance without saving.</t>
  </si>
  <si>
    <t xml:space="preserve">1. Launch Guardrails from Explore June AI.
2. Verify all eight ordered tour steps.
3. Choose Done and cancel the empty guardrail draft.</t>
  </si>
  <si>
    <t>All eight Guardrails steps appear in order and no Guardrail is created.</t>
  </si>
  <si>
    <t>{"tourEntry":"Guardrails","expectedStartPath":"/guardrails","expectedFinalPath":"/guardrails","steps":["Find guardrails quickly","Create a guardrail","New Guardrail","Setup steps","Information","API Details","Access","Save your guardrail"]}</t>
  </si>
  <si>
    <t>flow, product-tour, guardrails, e2e</t>
  </si>
  <si>
    <t>PT-007</t>
  </si>
  <si>
    <t>UI Components tour</t>
  </si>
  <si>
    <t>Complete the UI Components guided tour without creating a component</t>
  </si>
  <si>
    <t>Verify UI Component discovery, Designs and Visibility guidance without saving.</t>
  </si>
  <si>
    <t xml:space="preserve">1. Launch UI components from Explore June AI.
2. Verify all nine ordered tour steps.
3. Choose Done and cancel the empty UI Component draft.</t>
  </si>
  <si>
    <t>All nine UI Components steps appear in order and no UI Component is created.</t>
  </si>
  <si>
    <t>{"tourEntry":"UI components","expectedStartPath":"/ui-components","expectedFinalPath":"/ui-components","steps":["Welcome to UI Components.","Find UI components quickly","Create a UI component","New UI Component","Setup steps","Information","Designs","Visibility","Save your UI component"]}</t>
  </si>
  <si>
    <t>flow, product-tour, ui-components, e2e</t>
  </si>
  <si>
    <t>PT-008</t>
  </si>
  <si>
    <t>Inbox tour</t>
  </si>
  <si>
    <t>Complete the Inbox guided tour</t>
  </si>
  <si>
    <t>Verify refresh, agent, sort, date, pagination and workspace guidance.</t>
  </si>
  <si>
    <t xml:space="preserve">1. Launch Inbox from Explore June AI.
2. Verify all seven ordered tour steps.
3. Complete the tour with Done.</t>
  </si>
  <si>
    <t>The Inbox tour shows all seven recorded steps on the Inbox route and closes with Done.</t>
  </si>
  <si>
    <t>{"tourEntry":"Inbox","expectedStartPath":"/inbox","expectedFinalPath":"/inbox","steps":["Welcome to Inbox.","Refresh the list","Filter by agent","Sort workspaces","Filter by date","Move between pages","Open a workspace"]}</t>
  </si>
  <si>
    <t>flow, product-tour, inbox, e2e</t>
  </si>
  <si>
    <t>PT-009</t>
  </si>
  <si>
    <t>Tour launcher</t>
  </si>
  <si>
    <t>Show every recorded Explore June AI entry</t>
  </si>
  <si>
    <t>Verify the authenticated launcher exposes the complete recorded tour inventory.</t>
  </si>
  <si>
    <t xml:space="preserve">1. Open the authenticated account menu.
2. Open Explore June AI.
3. Verify the eight recorded entries in the launcher.</t>
  </si>
  <si>
    <t>Explore June AI lists Platform Overview, Agents, Tools, Connectors, Knowledge, Guardrails, UI components and Inbox.</t>
  </si>
  <si>
    <t>{"entries":["Platform Overview","Agents","Tools","Connectors","Knowledge","Guardrails","UI components","Inbox"]}</t>
  </si>
  <si>
    <t>flow, product-tour, launcher, navigation</t>
  </si>
  <si>
    <t>Derived from controls observed in the recorded Tour UI.</t>
  </si>
  <si>
    <t>PT-010</t>
  </si>
  <si>
    <t>Tour dismissal</t>
  </si>
  <si>
    <t>Skip a guided tour without leaving the selected module</t>
  </si>
  <si>
    <t>Verify Skip dismisses guidance without unintended navigation or creation.</t>
  </si>
  <si>
    <t xml:space="preserve">1. Launch Platform Overview.
2. Advance once.
3. Choose Skip.
4. Verify the popover closes and Task remains selected.</t>
  </si>
  <si>
    <t>Skip closes the active tour, keeps the configured route and creates no business record.</t>
  </si>
  <si>
    <t>{"tourEntry":"Platform Overview","expectedPath":"/task","firstStep":"Welcome to June AI.","secondStep":"Start a conversation"}</t>
  </si>
  <si>
    <t>flow, negative, product-tour, skip, navigation</t>
  </si>
  <si>
    <t>PT-011</t>
  </si>
  <si>
    <t>Tour navigation</t>
  </si>
  <si>
    <t>Move backward within a guided tour</t>
  </si>
  <si>
    <t>Verify Back returns to the preceding recorded step and counter.</t>
  </si>
  <si>
    <t xml:space="preserve">1. Launch Platform Overview.
2. Advance from step one to step two.
3. Choose Back.
4. Verify the first description and Step 1 of 7 counter return.
5. Skip the tour.</t>
  </si>
  <si>
    <t>Back restores the immediately preceding tour step without closing or duplicating the popover.</t>
  </si>
  <si>
    <t>{"tourEntry":"Platform Overview","expectedPath":"/task","firstStep":"Welcome to June AI.","secondStep":"Start a conversation","totalSteps":7}</t>
  </si>
  <si>
    <t>flow, negative, product-tour, back-navigation</t>
  </si>
  <si>
    <t>PT-012</t>
  </si>
  <si>
    <t>Tour authorization</t>
  </si>
  <si>
    <t>Block anonymous access to the Product Tour launcher</t>
  </si>
  <si>
    <t>Verify the authenticated Tour launcher is unavailable without a saved session.</t>
  </si>
  <si>
    <t xml:space="preserve">1. Open Task in a browser context with no storage state.
2. Wait for authentication routing to settle.
3. Verify the Explore June AI launcher is not available anonymously.</t>
  </si>
  <si>
    <t>An anonymous visitor is redirected to authentication or cannot access Explore June AI controls.</t>
  </si>
  <si>
    <t>{"protectedPath":"/task","loginPathPattern":"/login"}</t>
  </si>
  <si>
    <t>Authentication and unauthorized feature exposure</t>
  </si>
  <si>
    <t>flow, negative, security, product-tour, authentication</t>
  </si>
  <si>
    <t>Environment</t>
  </si>
  <si>
    <t>Base URL</t>
  </si>
  <si>
    <t>Interactive Login</t>
  </si>
  <si>
    <t>Storage State</t>
  </si>
  <si>
    <t>Safety Guidance</t>
  </si>
  <si>
    <t>DEV</t>
  </si>
  <si>
    <t>https://junedev.ledgers.cloud</t>
  </si>
  <si>
    <t>npm.cmd run env:run -- dev account</t>
  </si>
  <si>
    <t>npm.cmd run env:run -- dev agents</t>
  </si>
  <si>
    <t>npm.cmd run env:run -- dev tools</t>
  </si>
  <si>
    <t>npm.cmd run env:run -- dev connectors</t>
  </si>
  <si>
    <t>npm.cmd run env:run -- dev guardrails</t>
  </si>
  <si>
    <t>npm.cmd run env:run -- dev ui-components</t>
  </si>
  <si>
    <t>npm.cmd run env:run -- dev product-tour</t>
  </si>
  <si>
    <t>npm.cmd run auth:login:dev</t>
  </si>
  <si>
    <t>playwright-suite/storage/dev/auth.json</t>
  </si>
  <si>
    <t>Confirm environment-specific Account Settings and use approved synthetic data. Append --headed to env:run for visible Chrome.</t>
  </si>
  <si>
    <t>UAT</t>
  </si>
  <si>
    <t>https://juneuat.ledgers.cloud</t>
  </si>
  <si>
    <t>npm.cmd run env:run -- uat account</t>
  </si>
  <si>
    <t>npm.cmd run env:run -- uat agents</t>
  </si>
  <si>
    <t>npm.cmd run env:run -- uat tools</t>
  </si>
  <si>
    <t>npm.cmd run env:run -- uat connectors</t>
  </si>
  <si>
    <t>npm.cmd run env:run -- uat guardrails</t>
  </si>
  <si>
    <t>npm.cmd run env:run -- uat ui-components</t>
  </si>
  <si>
    <t>npm.cmd run env:run -- uat product-tour</t>
  </si>
  <si>
    <t>npm.cmd run auth:login:uat</t>
  </si>
  <si>
    <t>playwright-suite/storage/uat/auth.json</t>
  </si>
  <si>
    <t>LIVE</t>
  </si>
  <si>
    <t>https://june.ledgers.cloud</t>
  </si>
  <si>
    <t>npm.cmd run env:run -- live account</t>
  </si>
  <si>
    <t>npm.cmd run env:run -- live agents</t>
  </si>
  <si>
    <t>npm.cmd run env:run -- live tools</t>
  </si>
  <si>
    <t>npm.cmd run env:run -- live connectors</t>
  </si>
  <si>
    <t>npm.cmd run env:run -- live guardrails</t>
  </si>
  <si>
    <t>npm.cmd run env:run -- live ui-components</t>
  </si>
  <si>
    <t>npm.cmd run env:run -- live product-tour</t>
  </si>
  <si>
    <t>npm.cmd run auth:login:live</t>
  </si>
  <si>
    <t>playwright-suite/storage/live/auth.json</t>
  </si>
  <si>
    <t>Confirm environment-specific Account Settings. Review every Write Operation and security case before execution; use only approved synthetic data.</t>
  </si>
  <si>
    <t>Field</t>
  </si>
  <si>
    <t>Maintained In</t>
  </si>
  <si>
    <t>Required</t>
  </si>
  <si>
    <t>Example</t>
  </si>
  <si>
    <t>UI Test Cases</t>
  </si>
  <si>
    <t>Generated catalog</t>
  </si>
  <si>
    <t>Yes</t>
  </si>
  <si>
    <t>Stable display order across all implemented modules.</t>
  </si>
  <si>
    <t>1</t>
  </si>
  <si>
    <t>Module input workbook</t>
  </si>
  <si>
    <t>Mirrors Execute. YES runs the Playwright case; NO skips it.</t>
  </si>
  <si>
    <t>Case definition</t>
  </si>
  <si>
    <t>Unique automation identifier used by the spec, input workbook and reporter.</t>
  </si>
  <si>
    <t>Top-level current-project scope.</t>
  </si>
  <si>
    <t>Account / Agents / Tools / Connectors / Knowledge / Guardrails / UI Components / Product Tour</t>
  </si>
  <si>
    <t>Specific page area or behavior under test.</t>
  </si>
  <si>
    <t>Concise statement of the behavior being verified.</t>
  </si>
  <si>
    <t>Scope and intent of the automated check.</t>
  </si>
  <si>
    <t>Create one traceable Agent using safe resources.</t>
  </si>
  <si>
    <t>Functional, security or end-to-end coverage grouping.</t>
  </si>
  <si>
    <t>Positive, negative, combined or security scenario.</t>
  </si>
  <si>
    <t>Execution/business priority from P1 through P4.</t>
  </si>
  <si>
    <t>Impact if the tested behavior fails.</t>
  </si>
  <si>
    <t>State that must exist before the case runs.</t>
  </si>
  <si>
    <t>A valid authenticated session is available.</t>
  </si>
  <si>
    <t>Human-readable sequence corresponding to the automated behavior.</t>
  </si>
  <si>
    <t xml:space="preserve">1. Open Agents.
2. Select Create Agent.</t>
  </si>
  <si>
    <t>Observable success condition. Assertions remain in Playwright code.</t>
  </si>
  <si>
    <t>The synthetic Agent is created and visible.</t>
  </si>
  <si>
    <t>Exact row data passed to the module. Must remain valid JSON.</t>
  </si>
  <si>
    <t xml:space="preserve">{
  "maxLength": 100
}</t>
  </si>
  <si>
    <t>YES marks creation, update, upload or deletion of synthetic application data.</t>
  </si>
  <si>
    <t>No</t>
  </si>
  <si>
    <t>Security control covered by applicable cases.</t>
  </si>
  <si>
    <t>Relevant OWASP mapping where one is maintained.</t>
  </si>
  <si>
    <t>Searchable coverage labels. These plain labels are not direct Playwright grep expressions; CLI grep uses the @tags present in test titles.</t>
  </si>
  <si>
    <t>flow, smoke, agents</t>
  </si>
  <si>
    <t>Runtime Excel input from which Run Flag, data and notes were read.</t>
  </si>
  <si>
    <t>Optional maintainer notes. Edit the source workbook, not this generated catalog.</t>
  </si>
  <si>
    <t>Uses synthetic data only.</t>
  </si>
  <si>
    <t>Environment Matrix</t>
  </si>
  <si>
    <t>config/environments.json</t>
  </si>
  <si>
    <t>Locked UI origin for DEV, UAT or LIVE.</t>
  </si>
  <si>
    <t>Credentials</t>
  </si>
  <si>
    <t>Not stored</t>
  </si>
  <si>
    <t>playwright-suite/.env</t>
  </si>
  <si>
    <t>Conditional</t>
  </si>
  <si>
    <t>Use an environment-scoped username/password pair or a manually saved authenticated session. Never store secrets in Excel.</t>
  </si>
  <si>
    <t>DEV_TEST_USERNAME / DEV_TEST_PASSWORD</t>
  </si>
  <si>
    <t>Runtime tokens</t>
  </si>
  <si>
    <t>Placeholders resolved at run time for unique names and traceable timestamps.</t>
  </si>
  <si>
    <t>{{RUN_ISO}}, {{RUN_COMPACT}}, {{RUN_STAMP}}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</si>
</sst>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FF"/>
      <sz val="18"/>
    </font>
    <font>
      <i/>
      <color rgb="FF1F4E78"/>
      <sz val="11"/>
    </font>
    <font>
      <b/>
      <color rgb="FFFFFFFF"/>
      <sz val="10"/>
    </font>
    <font>
      <b/>
      <color rgb="FF17365D"/>
    </font>
    <font>
      <b/>
      <color rgb="FFFFFFFF"/>
      <sz val="17"/>
    </font>
    <font>
      <i/>
      <color rgb="FF1F4E78"/>
    </font>
    <font>
      <b/>
      <color rgb="FF548235"/>
    </font>
    <font>
      <sz val="10"/>
    </font>
    <font>
      <b/>
      <color rgb="FF006100"/>
    </font>
    <font>
      <b/>
    </font>
    <font>
      <sz val="9"/>
      <name val="Consolas"/>
    </font>
    <font>
      <b/>
      <color rgb="FF9C5700"/>
    </font>
    <font>
      <b/>
      <color rgb="FF9C0006"/>
    </font>
  </fonts>
  <fills count="13">
    <fill>
      <patternFill patternType="none"/>
    </fill>
    <fill>
      <patternFill patternType="gray125"/>
    </fill>
    <fill>
      <patternFill patternType="solid">
        <fgColor rgb="FF17365D"/>
      </patternFill>
    </fill>
    <fill>
      <patternFill patternType="solid">
        <fgColor rgb="FF1F4E78"/>
      </patternFill>
    </fill>
    <fill>
      <patternFill patternType="solid">
        <fgColor rgb="FF548235"/>
      </patternFill>
    </fill>
    <fill>
      <patternFill patternType="solid">
        <fgColor rgb="FFE2F0D9"/>
      </patternFill>
    </fill>
    <fill>
      <patternFill patternType="solid">
        <fgColor rgb="FFE4DFEC"/>
      </patternFill>
    </fill>
    <fill>
      <patternFill patternType="solid">
        <fgColor rgb="FFF4CCCC"/>
      </patternFill>
    </fill>
    <fill>
      <patternFill patternType="solid">
        <fgColor rgb="FFFCE4D6"/>
      </patternFill>
    </fill>
    <fill>
      <patternFill patternType="solid">
        <fgColor rgb="FFFFF2CC"/>
      </patternFill>
    </fill>
    <fill>
      <patternFill patternType="solid">
        <fgColor rgb="FFDDEBF7"/>
      </patternFill>
    </fill>
    <fill>
      <patternFill patternType="solid">
        <fgColor rgb="FFC65911"/>
      </patternFill>
    </fill>
    <fill>
      <patternFill patternType="solid">
        <fgColor rgb="FF0F6B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3">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wrapText="1"/>
    </xf>
    <xf numFmtId="0" fontId="0" fillId="0" borderId="0" xfId="0"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4" borderId="0" xfId="0" applyFont="1" applyFill="1" applyAlignment="1">
      <alignment horizontal="left" vertical="center"/>
    </xf>
    <xf numFmtId="0" fontId="6" fillId="0" borderId="0" xfId="0" applyFont="1"/>
    <xf numFmtId="0" fontId="3" fillId="4" borderId="0" xfId="0" applyFont="1" applyFill="1" applyAlignment="1">
      <alignment horizontal="center" vertical="center" wrapText="1"/>
    </xf>
    <xf numFmtId="0" fontId="0" fillId="0" borderId="0" xfId="0"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7" fillId="0" borderId="1" xfId="0" applyFont="1" applyBorder="1" applyAlignment="1">
      <alignment horizontal="center" vertical="center"/>
    </xf>
    <xf numFmtId="0" fontId="8" fillId="0" borderId="0" xfId="0" applyFont="1" applyAlignment="1">
      <alignment vertical="top" wrapText="1"/>
    </xf>
    <xf numFmtId="0" fontId="9" fillId="5" borderId="0" xfId="0" applyFont="1" applyFill="1" applyAlignment="1">
      <alignment horizontal="center" vertical="top"/>
    </xf>
    <xf numFmtId="0" fontId="4" fillId="0" borderId="0" xfId="0" applyFont="1" applyAlignment="1">
      <alignment vertical="top" wrapText="1"/>
    </xf>
    <xf numFmtId="0" fontId="4" fillId="6" borderId="0" xfId="0" applyFont="1" applyFill="1" applyAlignment="1">
      <alignment vertical="top" wrapText="1"/>
    </xf>
    <xf numFmtId="0" fontId="10" fillId="7" borderId="0" xfId="0" applyFont="1" applyFill="1" applyAlignment="1">
      <alignment vertical="top" wrapText="1"/>
    </xf>
    <xf numFmtId="0" fontId="11" fillId="0" borderId="0" xfId="0" applyFont="1" applyAlignment="1">
      <alignment vertical="top" wrapText="1"/>
    </xf>
    <xf numFmtId="0" fontId="8" fillId="0" borderId="0" xfId="0" applyFont="1" applyAlignment="1">
      <alignment horizontal="center" vertical="top"/>
    </xf>
    <xf numFmtId="0" fontId="12" fillId="8" borderId="0" xfId="0" applyFont="1" applyFill="1" applyAlignment="1">
      <alignment horizontal="center" vertical="top"/>
    </xf>
    <xf numFmtId="0" fontId="8" fillId="9" borderId="0" xfId="0" applyFont="1" applyFill="1" applyAlignment="1">
      <alignment vertical="top" wrapText="1"/>
    </xf>
    <xf numFmtId="0" fontId="4" fillId="10" borderId="0" xfId="0" applyFont="1" applyFill="1" applyAlignment="1">
      <alignment vertical="top" wrapText="1"/>
    </xf>
    <xf numFmtId="0" fontId="8" fillId="7" borderId="0" xfId="0" applyFont="1" applyFill="1" applyAlignment="1">
      <alignment vertical="top" wrapText="1"/>
    </xf>
    <xf numFmtId="0" fontId="4" fillId="5" borderId="0" xfId="0" applyFont="1" applyFill="1" applyAlignment="1">
      <alignment vertical="top" wrapText="1"/>
    </xf>
    <xf numFmtId="0" fontId="10" fillId="9" borderId="0" xfId="0" applyFont="1" applyFill="1" applyAlignment="1">
      <alignment vertical="top" wrapText="1"/>
    </xf>
    <xf numFmtId="0" fontId="4" fillId="8" borderId="0" xfId="0" applyFont="1" applyFill="1" applyAlignment="1">
      <alignment vertical="top" wrapText="1"/>
    </xf>
    <xf numFmtId="0" fontId="4" fillId="7" borderId="0" xfId="0" applyFont="1" applyFill="1" applyAlignment="1">
      <alignment vertical="top" wrapText="1"/>
    </xf>
    <xf numFmtId="0" fontId="4" fillId="9" borderId="0" xfId="0" applyFont="1" applyFill="1" applyAlignment="1">
      <alignment vertical="top" wrapText="1"/>
    </xf>
    <xf numFmtId="0" fontId="3" fillId="11" borderId="0" xfId="0" applyFont="1" applyFill="1" applyAlignment="1">
      <alignment horizontal="center" vertical="center" wrapText="1"/>
    </xf>
    <xf numFmtId="0" fontId="13" fillId="7" borderId="0" xfId="0" applyFont="1" applyFill="1" applyAlignment="1">
      <alignment vertical="top" wrapText="1"/>
    </xf>
    <xf numFmtId="0" fontId="3" fillId="1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UiAutomationCases" displayName="UiAutomationCases" ref="A1:U218" totalsRowShown="1" headerRowCount="1">
  <autoFilter ref="A1:U2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name="Sequence" totalsRowLabel="Total"/>
    <tableColumn id="2" name="Run Flag" totalsRowFunction="none"/>
    <tableColumn id="3" name="Test Case ID" totalsRowFunction="none"/>
    <tableColumn id="4" name="Product Module" totalsRowFunction="none"/>
    <tableColumn id="5" name="Feature / Area" totalsRowFunction="none"/>
    <tableColumn id="6" name="Title" totalsRowFunction="none"/>
    <tableColumn id="7" name="Description" totalsRowFunction="none"/>
    <tableColumn id="8" name="Category" totalsRowFunction="none"/>
    <tableColumn id="9" name="Scenario Type" totalsRowFunction="none"/>
    <tableColumn id="10" name="Priority" totalsRowFunction="none"/>
    <tableColumn id="11" name="Severity" totalsRowFunction="none"/>
    <tableColumn id="12" name="Preconditions" totalsRowFunction="none"/>
    <tableColumn id="13" name="Test Steps" totalsRowFunction="none"/>
    <tableColumn id="14" name="Expected Result" totalsRowFunction="none"/>
    <tableColumn id="15" name="Test Data JSON" totalsRowFunction="none"/>
    <tableColumn id="16" name="Write Operation" totalsRowFunction="none"/>
    <tableColumn id="17" name="Security Area" totalsRowFunction="none"/>
    <tableColumn id="18" name="OWASP Reference" totalsRowFunction="none"/>
    <tableColumn id="19" name="Tags" totalsRowFunction="none"/>
    <tableColumn id="20" name="Source Workbook" totalsRowFunction="none"/>
    <tableColumn id="21" name="Notes"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UiEnvironmentMatrix" displayName="UiEnvironmentMatrix" ref="A1:L4" totalsRowShown="1" headerRowCount="1">
  <autoFilter ref="A1:L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Environment" totalsRowLabel="Total"/>
    <tableColumn id="2" name="Base URL" totalsRowFunction="none"/>
    <tableColumn id="3" name="Account" totalsRowFunction="none"/>
    <tableColumn id="4" name="Agents" totalsRowFunction="none"/>
    <tableColumn id="5" name="Tools" totalsRowFunction="none"/>
    <tableColumn id="6" name="Connectors" totalsRowFunction="none"/>
    <tableColumn id="7" name="Guardrails" totalsRowFunction="none"/>
    <tableColumn id="8" name="UI Components" totalsRowFunction="none"/>
    <tableColumn id="9" name="Product Tour" totalsRowFunction="none"/>
    <tableColumn id="10" name="Interactive Login" totalsRowFunction="none"/>
    <tableColumn id="11" name="Storage State" totalsRowFunction="none"/>
    <tableColumn id="12" name="Safety Guidance" totalsRowFunction="no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UiCatalogFieldReference" displayName="UiCatalogFieldReference" ref="A1:F25" totalsRowShown="1" headerRowCount="1">
  <autoFilter ref="A1:F25">
    <filterColumn colId="0" hiddenButton="1"/>
    <filterColumn colId="1" hiddenButton="1"/>
    <filterColumn colId="2" hiddenButton="1"/>
    <filterColumn colId="3" hiddenButton="1"/>
    <filterColumn colId="4" hiddenButton="1"/>
    <filterColumn colId="5" hiddenButton="1"/>
  </autoFilter>
  <tableColumns count="6">
    <tableColumn id="1" name="Field" totalsRowLabel="Total"/>
    <tableColumn id="2" name="Applies To" totalsRowFunction="none"/>
    <tableColumn id="3" name="Maintained In" totalsRowFunction="none"/>
    <tableColumn id="4" name="Required" totalsRowFunction="none"/>
    <tableColumn id="5" name="Description" totalsRowFunction="none"/>
    <tableColumn id="6" name="Example" totalsRowFunction="non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7365D"/>
    <pageSetUpPr fitToPage="1"/>
  </sheetPr>
  <dimension ref="A1:C18"/>
  <sheetViews>
    <sheetView workbookViewId="0" showGridLines="0">
      <pane ySplit="4" topLeftCell="A5" activePane="bottomLeft" state="frozen"/>
      <selection pane="bottomLeft"/>
    </sheetView>
  </sheetViews>
  <sheetFormatPr defaultRowHeight="15" outlineLevelRow="0" outlineLevelCol="0" x14ac:dyDescent="55"/>
  <cols>
    <col min="1" max="1" width="27" customWidth="1"/>
    <col min="2" max="2" width="104" customWidth="1"/>
    <col min="3" max="3" width="25" customWidth="1"/>
  </cols>
  <sheetData>
    <row r="1" ht="34" customHeight="1" spans="1:3" x14ac:dyDescent="0.25">
      <c r="A1" s="1" t="s">
        <v>0</v>
      </c>
      <c r="B1" s="1"/>
      <c r="C1" s="1"/>
    </row>
    <row r="2" ht="24" customHeight="1" spans="1:3" x14ac:dyDescent="0.25">
      <c r="A2" s="2" t="s">
        <v>1</v>
      </c>
      <c r="B2" s="2"/>
      <c r="C2" s="2"/>
    </row>
    <row r="3" spans="1:3" x14ac:dyDescent="0.25"/>
    <row r="4" ht="30" customHeight="1" spans="1:3" s="3" customFormat="1" x14ac:dyDescent="0.25">
      <c r="A4" s="3" t="s">
        <v>2</v>
      </c>
      <c r="B4" s="3" t="s">
        <v>3</v>
      </c>
      <c r="C4" s="3" t="s">
        <v>4</v>
      </c>
    </row>
    <row r="5" ht="34" customHeight="1" spans="1:3" s="4" customFormat="1" x14ac:dyDescent="0.25">
      <c r="A5" s="5" t="s">
        <v>5</v>
      </c>
      <c r="B5" s="6" t="s">
        <v>6</v>
      </c>
      <c r="C5" s="6" t="s">
        <v>7</v>
      </c>
    </row>
    <row r="6" ht="34" customHeight="1" spans="1:3" s="4" customFormat="1" x14ac:dyDescent="0.25">
      <c r="A6" s="5" t="s">
        <v>8</v>
      </c>
      <c r="B6" s="6" t="s">
        <v>9</v>
      </c>
      <c r="C6" s="6" t="s">
        <v>10</v>
      </c>
    </row>
    <row r="7" ht="34" customHeight="1" spans="1:3" s="4" customFormat="1" x14ac:dyDescent="0.25">
      <c r="A7" s="5" t="s">
        <v>11</v>
      </c>
      <c r="B7" s="6" t="s">
        <v>12</v>
      </c>
      <c r="C7" s="6" t="s">
        <v>13</v>
      </c>
    </row>
    <row r="8" ht="34" customHeight="1" spans="1:3" s="4" customFormat="1" x14ac:dyDescent="0.25">
      <c r="A8" s="5" t="s">
        <v>14</v>
      </c>
      <c r="B8" s="6" t="s">
        <v>15</v>
      </c>
      <c r="C8" s="6" t="s">
        <v>16</v>
      </c>
    </row>
    <row r="9" ht="34" customHeight="1" spans="1:3" s="4" customFormat="1" x14ac:dyDescent="0.25">
      <c r="A9" s="5" t="s">
        <v>17</v>
      </c>
      <c r="B9" s="6" t="s">
        <v>18</v>
      </c>
      <c r="C9" s="6" t="s">
        <v>16</v>
      </c>
    </row>
    <row r="10" ht="34" customHeight="1" spans="1:3" s="4" customFormat="1" x14ac:dyDescent="0.25">
      <c r="A10" s="5" t="s">
        <v>19</v>
      </c>
      <c r="B10" s="6" t="s">
        <v>20</v>
      </c>
      <c r="C10" s="6" t="s">
        <v>21</v>
      </c>
    </row>
    <row r="11" ht="34" customHeight="1" spans="1:3" s="4" customFormat="1" x14ac:dyDescent="0.25">
      <c r="A11" s="5" t="s">
        <v>22</v>
      </c>
      <c r="B11" s="6" t="s">
        <v>23</v>
      </c>
      <c r="C11" s="6" t="s">
        <v>13</v>
      </c>
    </row>
    <row r="12" ht="34" customHeight="1" spans="1:3" s="4" customFormat="1" x14ac:dyDescent="0.25">
      <c r="A12" s="5" t="s">
        <v>24</v>
      </c>
      <c r="B12" s="6" t="s">
        <v>25</v>
      </c>
      <c r="C12" s="6" t="s">
        <v>26</v>
      </c>
    </row>
    <row r="13" ht="34" customHeight="1" spans="1:3" s="4" customFormat="1" x14ac:dyDescent="0.25">
      <c r="A13" s="5" t="s">
        <v>27</v>
      </c>
      <c r="B13" s="6" t="s">
        <v>28</v>
      </c>
      <c r="C13" s="6" t="s">
        <v>29</v>
      </c>
    </row>
    <row r="14" ht="34" customHeight="1" spans="1:3" s="4" customFormat="1" x14ac:dyDescent="0.25">
      <c r="A14" s="5" t="s">
        <v>30</v>
      </c>
      <c r="B14" s="6" t="s">
        <v>31</v>
      </c>
      <c r="C14" s="6" t="s">
        <v>32</v>
      </c>
    </row>
    <row r="15" ht="34" customHeight="1" spans="1:3" s="4" customFormat="1" x14ac:dyDescent="0.25">
      <c r="A15" s="5" t="s">
        <v>33</v>
      </c>
      <c r="B15" s="6" t="s">
        <v>34</v>
      </c>
      <c r="C15" s="6" t="s">
        <v>35</v>
      </c>
    </row>
    <row r="16" ht="34" customHeight="1" spans="1:3" s="4" customFormat="1" x14ac:dyDescent="0.25">
      <c r="A16" s="5" t="s">
        <v>36</v>
      </c>
      <c r="B16" s="6" t="s">
        <v>37</v>
      </c>
      <c r="C16" s="6" t="s">
        <v>38</v>
      </c>
    </row>
    <row r="17" ht="34" customHeight="1" spans="1:3" s="4" customFormat="1" x14ac:dyDescent="0.25">
      <c r="A17" s="5" t="s">
        <v>39</v>
      </c>
      <c r="B17" s="6" t="s">
        <v>40</v>
      </c>
      <c r="C17" s="6" t="s">
        <v>5</v>
      </c>
    </row>
    <row r="18" ht="34" customHeight="1" spans="1:3" s="4" customFormat="1" x14ac:dyDescent="0.25">
      <c r="A18" s="5" t="s">
        <v>41</v>
      </c>
      <c r="B18" s="6" t="s">
        <v>42</v>
      </c>
      <c r="C18" s="6" t="s">
        <v>16</v>
      </c>
    </row>
  </sheetData>
  <autoFilter ref="A4:C4"/>
  <mergeCells count="2">
    <mergeCell ref="A1:C1"/>
    <mergeCell ref="A2:C2"/>
  </mergeCells>
  <pageMargins left="0.25" right="0.25" top="0.5" bottom="0.5" header="0.2" footer="0.2"/>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pageSetUpPr fitToPage="1"/>
  </sheetPr>
  <dimension ref="A1:D37"/>
  <sheetViews>
    <sheetView workbookViewId="0" showGridLines="0">
      <pane ySplit="4" topLeftCell="A5" activePane="bottomLeft" state="frozen"/>
      <selection pane="bottomLeft"/>
    </sheetView>
  </sheetViews>
  <sheetFormatPr defaultRowHeight="15" outlineLevelRow="0" outlineLevelCol="0" x14ac:dyDescent="55"/>
  <cols>
    <col min="1" max="1" width="23" customWidth="1"/>
    <col min="2" max="2" width="37" customWidth="1"/>
    <col min="3" max="3" width="14" customWidth="1"/>
    <col min="4" max="4" width="72" customWidth="1"/>
  </cols>
  <sheetData>
    <row r="1" ht="32" customHeight="1" spans="1:4" x14ac:dyDescent="0.25">
      <c r="A1" s="7" t="s">
        <v>43</v>
      </c>
      <c r="B1" s="7"/>
      <c r="C1" s="7"/>
      <c r="D1" s="7"/>
    </row>
    <row r="2" spans="1:4" x14ac:dyDescent="0.25">
      <c r="A2" s="8" t="s">
        <v>44</v>
      </c>
      <c r="B2" s="8"/>
      <c r="C2" s="8"/>
      <c r="D2" s="8"/>
    </row>
    <row r="3" spans="1:4" x14ac:dyDescent="0.25"/>
    <row r="4" ht="30" customHeight="1" spans="1:4" s="9" customFormat="1" x14ac:dyDescent="0.25">
      <c r="A4" s="9" t="s">
        <v>45</v>
      </c>
      <c r="B4" s="9" t="s">
        <v>46</v>
      </c>
      <c r="C4" s="9" t="s">
        <v>47</v>
      </c>
      <c r="D4" s="9" t="s">
        <v>48</v>
      </c>
    </row>
    <row r="5" ht="26" customHeight="1" spans="1:4" s="10" customFormat="1" x14ac:dyDescent="0.25">
      <c r="A5" s="11" t="s">
        <v>49</v>
      </c>
      <c r="B5" s="12" t="s">
        <v>50</v>
      </c>
      <c r="C5" s="13">
        <f>ROWS(UiAutomationCases[Test Case ID])</f>
        <v>217</v>
      </c>
      <c r="D5" s="12" t="s">
        <v>51</v>
      </c>
    </row>
    <row r="6" ht="26" customHeight="1" spans="1:4" s="10" customFormat="1" x14ac:dyDescent="0.25">
      <c r="A6" s="11" t="s">
        <v>49</v>
      </c>
      <c r="B6" s="12" t="s">
        <v>52</v>
      </c>
      <c r="C6" s="13">
        <f>COUNTIF(UiAutomationCases[Run Flag],"YES")</f>
        <v>217</v>
      </c>
      <c r="D6" s="12" t="s">
        <v>53</v>
      </c>
    </row>
    <row r="7" ht="26" customHeight="1" spans="1:4" s="10" customFormat="1" x14ac:dyDescent="0.25">
      <c r="A7" s="11" t="s">
        <v>49</v>
      </c>
      <c r="B7" s="12" t="s">
        <v>54</v>
      </c>
      <c r="C7" s="13">
        <f>COUNTIF(UiAutomationCases[Run Flag],"NO")</f>
        <v>0</v>
      </c>
      <c r="D7" s="12" t="s">
        <v>55</v>
      </c>
    </row>
    <row r="8" ht="26" customHeight="1" spans="1:4" s="10" customFormat="1" x14ac:dyDescent="0.25">
      <c r="A8" s="11" t="s">
        <v>38</v>
      </c>
      <c r="B8" s="12" t="s">
        <v>56</v>
      </c>
      <c r="C8" s="13">
        <f>COUNTIF(UiAutomationCases[Write Operation],"YES")</f>
        <v>39</v>
      </c>
      <c r="D8" s="12" t="s">
        <v>57</v>
      </c>
    </row>
    <row r="9" ht="26" customHeight="1" spans="1:4" s="10" customFormat="1" x14ac:dyDescent="0.25">
      <c r="A9" s="11" t="s">
        <v>38</v>
      </c>
      <c r="B9" s="12" t="s">
        <v>58</v>
      </c>
      <c r="C9" s="13">
        <f>COUNTIF(UiAutomationCases[Write Operation],"NO")</f>
        <v>178</v>
      </c>
      <c r="D9" s="12" t="s">
        <v>59</v>
      </c>
    </row>
    <row r="10" ht="26" customHeight="1" spans="1:4" s="10" customFormat="1" x14ac:dyDescent="0.25">
      <c r="A10" s="11" t="s">
        <v>26</v>
      </c>
      <c r="B10" s="12" t="s">
        <v>60</v>
      </c>
      <c r="C10" s="13">
        <f>COUNTIF(UiAutomationCases[Security Area],"&lt;&gt;")</f>
        <v>46</v>
      </c>
      <c r="D10" s="12" t="s">
        <v>61</v>
      </c>
    </row>
    <row r="11" ht="26" customHeight="1" spans="1:4" s="10" customFormat="1" x14ac:dyDescent="0.25">
      <c r="A11" s="11" t="s">
        <v>62</v>
      </c>
      <c r="B11" s="12" t="s">
        <v>63</v>
      </c>
      <c r="C11" s="13">
        <f>COUNTIF(UiAutomationCases[Product Module],"Account")</f>
        <v>12</v>
      </c>
      <c r="D11" s="12" t="s">
        <v>64</v>
      </c>
    </row>
    <row r="12" ht="26" customHeight="1" spans="1:4" s="10" customFormat="1" x14ac:dyDescent="0.25">
      <c r="A12" s="11" t="s">
        <v>62</v>
      </c>
      <c r="B12" s="12" t="s">
        <v>65</v>
      </c>
      <c r="C12" s="13">
        <f>COUNTIF(UiAutomationCases[Product Module],"Agents")</f>
        <v>30</v>
      </c>
      <c r="D12" s="12" t="s">
        <v>66</v>
      </c>
    </row>
    <row r="13" ht="26" customHeight="1" spans="1:4" s="10" customFormat="1" x14ac:dyDescent="0.25">
      <c r="A13" s="11" t="s">
        <v>62</v>
      </c>
      <c r="B13" s="12" t="s">
        <v>67</v>
      </c>
      <c r="C13" s="13">
        <f>COUNTIF(UiAutomationCases[Product Module],"Connectors")</f>
        <v>24</v>
      </c>
      <c r="D13" s="12" t="s">
        <v>68</v>
      </c>
    </row>
    <row r="14" ht="26" customHeight="1" spans="1:4" s="10" customFormat="1" x14ac:dyDescent="0.25">
      <c r="A14" s="11" t="s">
        <v>62</v>
      </c>
      <c r="B14" s="12" t="s">
        <v>69</v>
      </c>
      <c r="C14" s="13">
        <f>COUNTIF(UiAutomationCases[Product Module],"Guardrails")</f>
        <v>30</v>
      </c>
      <c r="D14" s="12" t="s">
        <v>70</v>
      </c>
    </row>
    <row r="15" ht="26" customHeight="1" spans="1:4" s="10" customFormat="1" x14ac:dyDescent="0.25">
      <c r="A15" s="11" t="s">
        <v>62</v>
      </c>
      <c r="B15" s="12" t="s">
        <v>71</v>
      </c>
      <c r="C15" s="13">
        <f>COUNTIF(UiAutomationCases[Product Module],"Knowledge")</f>
        <v>30</v>
      </c>
      <c r="D15" s="12" t="s">
        <v>72</v>
      </c>
    </row>
    <row r="16" ht="26" customHeight="1" spans="1:4" s="10" customFormat="1" x14ac:dyDescent="0.25">
      <c r="A16" s="11" t="s">
        <v>62</v>
      </c>
      <c r="B16" s="12" t="s">
        <v>73</v>
      </c>
      <c r="C16" s="13">
        <f>COUNTIF(UiAutomationCases[Product Module],"Product Tour")</f>
        <v>12</v>
      </c>
      <c r="D16" s="12" t="s">
        <v>74</v>
      </c>
    </row>
    <row r="17" ht="26" customHeight="1" spans="1:4" s="10" customFormat="1" x14ac:dyDescent="0.25">
      <c r="A17" s="11" t="s">
        <v>62</v>
      </c>
      <c r="B17" s="12" t="s">
        <v>75</v>
      </c>
      <c r="C17" s="13">
        <f>COUNTIF(UiAutomationCases[Product Module],"Tools")</f>
        <v>49</v>
      </c>
      <c r="D17" s="12" t="s">
        <v>76</v>
      </c>
    </row>
    <row r="18" ht="26" customHeight="1" spans="1:4" s="10" customFormat="1" x14ac:dyDescent="0.25">
      <c r="A18" s="11" t="s">
        <v>62</v>
      </c>
      <c r="B18" s="12" t="s">
        <v>77</v>
      </c>
      <c r="C18" s="13">
        <f>COUNTIF(UiAutomationCases[Product Module],"UI Components")</f>
        <v>30</v>
      </c>
      <c r="D18" s="12" t="s">
        <v>78</v>
      </c>
    </row>
    <row r="19" ht="26" customHeight="1" spans="1:4" s="10" customFormat="1" x14ac:dyDescent="0.25">
      <c r="A19" s="11" t="s">
        <v>79</v>
      </c>
      <c r="B19" s="12" t="s">
        <v>80</v>
      </c>
      <c r="C19" s="13">
        <f>COUNTIF(UiAutomationCases[Scenario Type],"Negative")</f>
        <v>22</v>
      </c>
      <c r="D19" s="12" t="s">
        <v>81</v>
      </c>
    </row>
    <row r="20" ht="26" customHeight="1" spans="1:4" s="10" customFormat="1" x14ac:dyDescent="0.25">
      <c r="A20" s="11" t="s">
        <v>79</v>
      </c>
      <c r="B20" s="12" t="s">
        <v>82</v>
      </c>
      <c r="C20" s="13">
        <f>COUNTIF(UiAutomationCases[Scenario Type],"Negative + Security")</f>
        <v>12</v>
      </c>
      <c r="D20" s="12" t="s">
        <v>83</v>
      </c>
    </row>
    <row r="21" ht="26" customHeight="1" spans="1:4" s="10" customFormat="1" x14ac:dyDescent="0.25">
      <c r="A21" s="11" t="s">
        <v>79</v>
      </c>
      <c r="B21" s="12" t="s">
        <v>84</v>
      </c>
      <c r="C21" s="13">
        <f>COUNTIF(UiAutomationCases[Scenario Type],"Positive")</f>
        <v>127</v>
      </c>
      <c r="D21" s="12" t="s">
        <v>85</v>
      </c>
    </row>
    <row r="22" ht="26" customHeight="1" spans="1:4" s="10" customFormat="1" x14ac:dyDescent="0.25">
      <c r="A22" s="11" t="s">
        <v>79</v>
      </c>
      <c r="B22" s="12" t="s">
        <v>86</v>
      </c>
      <c r="C22" s="13">
        <f>COUNTIF(UiAutomationCases[Scenario Type],"Positive + Negative")</f>
        <v>22</v>
      </c>
      <c r="D22" s="12" t="s">
        <v>87</v>
      </c>
    </row>
    <row r="23" ht="26" customHeight="1" spans="1:4" s="10" customFormat="1" x14ac:dyDescent="0.25">
      <c r="A23" s="11" t="s">
        <v>79</v>
      </c>
      <c r="B23" s="12" t="s">
        <v>26</v>
      </c>
      <c r="C23" s="13">
        <f>COUNTIF(UiAutomationCases[Scenario Type],"Security")</f>
        <v>34</v>
      </c>
      <c r="D23" s="12" t="s">
        <v>88</v>
      </c>
    </row>
    <row r="24" ht="26" customHeight="1" spans="1:4" s="10" customFormat="1" x14ac:dyDescent="0.25">
      <c r="A24" s="11" t="s">
        <v>89</v>
      </c>
      <c r="B24" s="12" t="s">
        <v>90</v>
      </c>
      <c r="C24" s="13">
        <f>COUNTIF(UiAutomationCases[Priority],"P1")</f>
        <v>215</v>
      </c>
      <c r="D24" s="12" t="s">
        <v>91</v>
      </c>
    </row>
    <row r="25" ht="26" customHeight="1" spans="1:4" s="10" customFormat="1" x14ac:dyDescent="0.25">
      <c r="A25" s="11" t="s">
        <v>89</v>
      </c>
      <c r="B25" s="12" t="s">
        <v>92</v>
      </c>
      <c r="C25" s="13">
        <f>COUNTIF(UiAutomationCases[Priority],"P2")</f>
        <v>2</v>
      </c>
      <c r="D25" s="12" t="s">
        <v>93</v>
      </c>
    </row>
    <row r="26" ht="26" customHeight="1" spans="1:4" s="10" customFormat="1" x14ac:dyDescent="0.25">
      <c r="A26" s="11" t="s">
        <v>94</v>
      </c>
      <c r="B26" s="12" t="s">
        <v>95</v>
      </c>
      <c r="C26" s="13">
        <f>COUNTIF(UiAutomationCases[Severity],"Critical")</f>
        <v>85</v>
      </c>
      <c r="D26" s="12" t="s">
        <v>96</v>
      </c>
    </row>
    <row r="27" ht="26" customHeight="1" spans="1:4" s="10" customFormat="1" x14ac:dyDescent="0.25">
      <c r="A27" s="11" t="s">
        <v>94</v>
      </c>
      <c r="B27" s="12" t="s">
        <v>97</v>
      </c>
      <c r="C27" s="13">
        <f>COUNTIF(UiAutomationCases[Severity],"High")</f>
        <v>130</v>
      </c>
      <c r="D27" s="12" t="s">
        <v>98</v>
      </c>
    </row>
    <row r="28" ht="26" customHeight="1" spans="1:4" s="10" customFormat="1" x14ac:dyDescent="0.25">
      <c r="A28" s="11" t="s">
        <v>94</v>
      </c>
      <c r="B28" s="12" t="s">
        <v>99</v>
      </c>
      <c r="C28" s="13">
        <f>COUNTIF(UiAutomationCases[Severity],"Medium")</f>
        <v>2</v>
      </c>
      <c r="D28" s="12" t="s">
        <v>100</v>
      </c>
    </row>
    <row r="29" ht="26" customHeight="1" spans="1:4" s="10" customFormat="1" x14ac:dyDescent="0.25">
      <c r="A29" s="11" t="s">
        <v>101</v>
      </c>
      <c r="B29" s="12" t="s">
        <v>102</v>
      </c>
      <c r="C29" s="13">
        <f>COUNTIF(UiAutomationCases[Category],"Accessibility")</f>
        <v>1</v>
      </c>
      <c r="D29" s="12" t="s">
        <v>103</v>
      </c>
    </row>
    <row r="30" ht="26" customHeight="1" spans="1:4" s="10" customFormat="1" x14ac:dyDescent="0.25">
      <c r="A30" s="11" t="s">
        <v>101</v>
      </c>
      <c r="B30" s="12" t="s">
        <v>24</v>
      </c>
      <c r="C30" s="13">
        <f>COUNTIF(UiAutomationCases[Category],"Authentication")</f>
        <v>3</v>
      </c>
      <c r="D30" s="12" t="s">
        <v>104</v>
      </c>
    </row>
    <row r="31" ht="26" customHeight="1" spans="1:4" s="10" customFormat="1" x14ac:dyDescent="0.25">
      <c r="A31" s="11" t="s">
        <v>101</v>
      </c>
      <c r="B31" s="12" t="s">
        <v>105</v>
      </c>
      <c r="C31" s="13">
        <f>COUNTIF(UiAutomationCases[Category],"Chat composer")</f>
        <v>3</v>
      </c>
      <c r="D31" s="12" t="s">
        <v>106</v>
      </c>
    </row>
    <row r="32" ht="26" customHeight="1" spans="1:4" s="10" customFormat="1" x14ac:dyDescent="0.25">
      <c r="A32" s="11" t="s">
        <v>101</v>
      </c>
      <c r="B32" s="12" t="s">
        <v>107</v>
      </c>
      <c r="C32" s="13">
        <f>COUNTIF(UiAutomationCases[Category],"Connector integration")</f>
        <v>3</v>
      </c>
      <c r="D32" s="12" t="s">
        <v>108</v>
      </c>
    </row>
    <row r="33" ht="26" customHeight="1" spans="1:4" s="10" customFormat="1" x14ac:dyDescent="0.25">
      <c r="A33" s="11" t="s">
        <v>101</v>
      </c>
      <c r="B33" s="12" t="s">
        <v>109</v>
      </c>
      <c r="C33" s="13">
        <f>COUNTIF(UiAutomationCases[Category],"Document attachment")</f>
        <v>3</v>
      </c>
      <c r="D33" s="12" t="s">
        <v>110</v>
      </c>
    </row>
    <row r="34" ht="26" customHeight="1" spans="1:4" s="10" customFormat="1" x14ac:dyDescent="0.25">
      <c r="A34" s="11" t="s">
        <v>101</v>
      </c>
      <c r="B34" s="12" t="s">
        <v>111</v>
      </c>
      <c r="C34" s="13">
        <f>COUNTIF(UiAutomationCases[Category],"End to end")</f>
        <v>51</v>
      </c>
      <c r="D34" s="12" t="s">
        <v>112</v>
      </c>
    </row>
    <row r="35" ht="26" customHeight="1" spans="1:4" s="10" customFormat="1" x14ac:dyDescent="0.25">
      <c r="A35" s="11" t="s">
        <v>101</v>
      </c>
      <c r="B35" s="12" t="s">
        <v>113</v>
      </c>
      <c r="C35" s="13">
        <f>COUNTIF(UiAutomationCases[Category],"Functional")</f>
        <v>126</v>
      </c>
      <c r="D35" s="12" t="s">
        <v>114</v>
      </c>
    </row>
    <row r="36" ht="26" customHeight="1" spans="1:4" s="10" customFormat="1" x14ac:dyDescent="0.25">
      <c r="A36" s="11" t="s">
        <v>101</v>
      </c>
      <c r="B36" s="12" t="s">
        <v>115</v>
      </c>
      <c r="C36" s="13">
        <f>COUNTIF(UiAutomationCases[Category],"Integration")</f>
        <v>4</v>
      </c>
      <c r="D36" s="12" t="s">
        <v>116</v>
      </c>
    </row>
    <row r="37" ht="26" customHeight="1" spans="1:4" s="10" customFormat="1" x14ac:dyDescent="0.25">
      <c r="A37" s="11" t="s">
        <v>101</v>
      </c>
      <c r="B37" s="12" t="s">
        <v>26</v>
      </c>
      <c r="C37" s="13">
        <f>COUNTIF(UiAutomationCases[Category],"Security")</f>
        <v>23</v>
      </c>
      <c r="D37" s="12" t="s">
        <v>117</v>
      </c>
    </row>
  </sheetData>
  <autoFilter ref="A4:D37"/>
  <mergeCells count="2">
    <mergeCell ref="A1:D1"/>
    <mergeCell ref="A2:D2"/>
  </mergeCells>
  <pageMargins left="0.25" right="0.25" top="0.5" bottom="0.5" header="0.2" footer="0.2"/>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pageSetUpPr fitToPage="1"/>
  </sheetPr>
  <dimension ref="A1:U218"/>
  <sheetViews>
    <sheetView workbookViewId="0" showGridLines="0" zoomScale="75">
      <pane xSplit="3" ySplit="1" topLeftCell="D2" activePane="bottomRight" state="frozen"/>
      <selection pane="bottomRight" activeCell="D2" sqref="D2"/>
    </sheetView>
  </sheetViews>
  <sheetFormatPr defaultRowHeight="15" outlineLevelRow="0" outlineLevelCol="0" x14ac:dyDescent="55"/>
  <cols>
    <col min="1" max="2" width="11" customWidth="1"/>
    <col min="3" max="3" width="15" customWidth="1"/>
    <col min="4" max="4" width="18" customWidth="1"/>
    <col min="5" max="5" width="31" customWidth="1"/>
    <col min="6" max="6" width="46" customWidth="1"/>
    <col min="7" max="7" width="54" customWidth="1"/>
    <col min="8" max="8" width="20" customWidth="1"/>
    <col min="9" max="9" width="23" customWidth="1"/>
    <col min="10" max="10" width="11" customWidth="1"/>
    <col min="11" max="11" width="12" customWidth="1"/>
    <col min="12" max="12" width="52" customWidth="1"/>
    <col min="13" max="13" width="66" customWidth="1"/>
    <col min="14" max="14" width="60" customWidth="1"/>
    <col min="15" max="15" width="62" customWidth="1"/>
    <col min="16" max="16" width="16" customWidth="1"/>
    <col min="17" max="17" width="32" customWidth="1"/>
    <col min="18" max="18" width="43" customWidth="1"/>
    <col min="19" max="19" width="40" customWidth="1"/>
    <col min="20" max="20" width="30" customWidth="1"/>
    <col min="21" max="21" width="35" customWidth="1"/>
  </cols>
  <sheetData>
    <row r="1" ht="30" customHeight="1" spans="1:21" s="3" customFormat="1" x14ac:dyDescent="0.25">
      <c r="A1" s="3" t="s">
        <v>118</v>
      </c>
      <c r="B1" s="3" t="s">
        <v>119</v>
      </c>
      <c r="C1" s="3" t="s">
        <v>120</v>
      </c>
      <c r="D1" s="3" t="s">
        <v>121</v>
      </c>
      <c r="E1" s="3" t="s">
        <v>122</v>
      </c>
      <c r="F1" s="3" t="s">
        <v>123</v>
      </c>
      <c r="G1" s="3" t="s">
        <v>124</v>
      </c>
      <c r="H1" s="3" t="s">
        <v>101</v>
      </c>
      <c r="I1" s="3" t="s">
        <v>125</v>
      </c>
      <c r="J1" s="3" t="s">
        <v>89</v>
      </c>
      <c r="K1" s="3" t="s">
        <v>94</v>
      </c>
      <c r="L1" s="3" t="s">
        <v>126</v>
      </c>
      <c r="M1" s="3" t="s">
        <v>127</v>
      </c>
      <c r="N1" s="3" t="s">
        <v>128</v>
      </c>
      <c r="O1" s="3" t="s">
        <v>129</v>
      </c>
      <c r="P1" s="3" t="s">
        <v>130</v>
      </c>
      <c r="Q1" s="3" t="s">
        <v>131</v>
      </c>
      <c r="R1" s="3" t="s">
        <v>132</v>
      </c>
      <c r="S1" s="3" t="s">
        <v>133</v>
      </c>
      <c r="T1" s="3" t="s">
        <v>134</v>
      </c>
      <c r="U1" s="3" t="s">
        <v>135</v>
      </c>
    </row>
    <row r="2" ht="72" customHeight="1" spans="1:21" s="14" customFormat="1" x14ac:dyDescent="0.25">
      <c r="A2" s="14">
        <v>1</v>
      </c>
      <c r="B2" s="15" t="s">
        <v>136</v>
      </c>
      <c r="C2" s="16" t="s">
        <v>137</v>
      </c>
      <c r="D2" s="17" t="s">
        <v>63</v>
      </c>
      <c r="E2" s="14" t="s">
        <v>138</v>
      </c>
      <c r="F2" s="14" t="s">
        <v>139</v>
      </c>
      <c r="G2" s="14" t="s">
        <v>140</v>
      </c>
      <c r="H2" s="14" t="s">
        <v>24</v>
      </c>
      <c r="I2" s="14" t="s">
        <v>84</v>
      </c>
      <c r="J2" s="18" t="s">
        <v>90</v>
      </c>
      <c r="K2" s="14" t="s">
        <v>95</v>
      </c>
      <c r="L2" s="14" t="s">
        <v>141</v>
      </c>
      <c r="M2" s="14" t="s">
        <v>142</v>
      </c>
      <c r="N2" s="14" t="s">
        <v>143</v>
      </c>
      <c r="O2" s="19" t="s">
        <v>144</v>
      </c>
      <c r="P2" s="20" t="s">
        <v>145</v>
      </c>
      <c r="Q2" s="14" t="s">
        <v>146</v>
      </c>
      <c r="R2" s="14" t="s">
        <v>146</v>
      </c>
      <c r="S2" s="14" t="s">
        <v>147</v>
      </c>
      <c r="T2" s="14" t="s">
        <v>148</v>
      </c>
      <c r="U2" s="14" t="s">
        <v>146</v>
      </c>
    </row>
    <row r="3" ht="72" customHeight="1" spans="1:21" s="14" customFormat="1" x14ac:dyDescent="0.25">
      <c r="A3" s="14">
        <v>2</v>
      </c>
      <c r="B3" s="15" t="s">
        <v>136</v>
      </c>
      <c r="C3" s="16" t="s">
        <v>149</v>
      </c>
      <c r="D3" s="17" t="s">
        <v>63</v>
      </c>
      <c r="E3" s="14" t="s">
        <v>150</v>
      </c>
      <c r="F3" s="14" t="s">
        <v>151</v>
      </c>
      <c r="G3" s="14" t="s">
        <v>152</v>
      </c>
      <c r="H3" s="14" t="s">
        <v>105</v>
      </c>
      <c r="I3" s="14" t="s">
        <v>84</v>
      </c>
      <c r="J3" s="18" t="s">
        <v>90</v>
      </c>
      <c r="K3" s="14" t="s">
        <v>95</v>
      </c>
      <c r="L3" s="14" t="s">
        <v>153</v>
      </c>
      <c r="M3" s="14" t="s">
        <v>154</v>
      </c>
      <c r="N3" s="14" t="s">
        <v>155</v>
      </c>
      <c r="O3" s="19" t="s">
        <v>156</v>
      </c>
      <c r="P3" s="20" t="s">
        <v>145</v>
      </c>
      <c r="Q3" s="14" t="s">
        <v>146</v>
      </c>
      <c r="R3" s="14" t="s">
        <v>146</v>
      </c>
      <c r="S3" s="14" t="s">
        <v>157</v>
      </c>
      <c r="T3" s="14" t="s">
        <v>148</v>
      </c>
      <c r="U3" s="14" t="s">
        <v>146</v>
      </c>
    </row>
    <row r="4" ht="72" customHeight="1" spans="1:21" s="14" customFormat="1" x14ac:dyDescent="0.25">
      <c r="A4" s="14">
        <v>3</v>
      </c>
      <c r="B4" s="15" t="s">
        <v>136</v>
      </c>
      <c r="C4" s="16" t="s">
        <v>158</v>
      </c>
      <c r="D4" s="17" t="s">
        <v>63</v>
      </c>
      <c r="E4" s="14" t="s">
        <v>159</v>
      </c>
      <c r="F4" s="14" t="s">
        <v>160</v>
      </c>
      <c r="G4" s="14" t="s">
        <v>161</v>
      </c>
      <c r="H4" s="14" t="s">
        <v>107</v>
      </c>
      <c r="I4" s="14" t="s">
        <v>84</v>
      </c>
      <c r="J4" s="18" t="s">
        <v>90</v>
      </c>
      <c r="K4" s="14" t="s">
        <v>95</v>
      </c>
      <c r="L4" s="14" t="s">
        <v>162</v>
      </c>
      <c r="M4" s="14" t="s">
        <v>163</v>
      </c>
      <c r="N4" s="14" t="s">
        <v>164</v>
      </c>
      <c r="O4" s="19" t="s">
        <v>165</v>
      </c>
      <c r="P4" s="20" t="s">
        <v>145</v>
      </c>
      <c r="Q4" s="14" t="s">
        <v>146</v>
      </c>
      <c r="R4" s="14" t="s">
        <v>146</v>
      </c>
      <c r="S4" s="14" t="s">
        <v>166</v>
      </c>
      <c r="T4" s="14" t="s">
        <v>148</v>
      </c>
      <c r="U4" s="14" t="s">
        <v>146</v>
      </c>
    </row>
    <row r="5" ht="72" customHeight="1" spans="1:21" s="14" customFormat="1" x14ac:dyDescent="0.25">
      <c r="A5" s="14">
        <v>4</v>
      </c>
      <c r="B5" s="15" t="s">
        <v>136</v>
      </c>
      <c r="C5" s="16" t="s">
        <v>167</v>
      </c>
      <c r="D5" s="17" t="s">
        <v>63</v>
      </c>
      <c r="E5" s="14" t="s">
        <v>168</v>
      </c>
      <c r="F5" s="14" t="s">
        <v>169</v>
      </c>
      <c r="G5" s="14" t="s">
        <v>170</v>
      </c>
      <c r="H5" s="14" t="s">
        <v>109</v>
      </c>
      <c r="I5" s="14" t="s">
        <v>84</v>
      </c>
      <c r="J5" s="18" t="s">
        <v>90</v>
      </c>
      <c r="K5" s="14" t="s">
        <v>95</v>
      </c>
      <c r="L5" s="14" t="s">
        <v>171</v>
      </c>
      <c r="M5" s="14" t="s">
        <v>172</v>
      </c>
      <c r="N5" s="14" t="s">
        <v>173</v>
      </c>
      <c r="O5" s="19" t="s">
        <v>174</v>
      </c>
      <c r="P5" s="21" t="s">
        <v>136</v>
      </c>
      <c r="Q5" s="14" t="s">
        <v>146</v>
      </c>
      <c r="R5" s="14" t="s">
        <v>146</v>
      </c>
      <c r="S5" s="14" t="s">
        <v>175</v>
      </c>
      <c r="T5" s="14" t="s">
        <v>148</v>
      </c>
      <c r="U5" s="14" t="s">
        <v>146</v>
      </c>
    </row>
    <row r="6" ht="72" customHeight="1" spans="1:21" s="14" customFormat="1" x14ac:dyDescent="0.25">
      <c r="A6" s="14">
        <v>5</v>
      </c>
      <c r="B6" s="15" t="s">
        <v>136</v>
      </c>
      <c r="C6" s="16" t="s">
        <v>176</v>
      </c>
      <c r="D6" s="17" t="s">
        <v>63</v>
      </c>
      <c r="E6" s="14" t="s">
        <v>177</v>
      </c>
      <c r="F6" s="14" t="s">
        <v>178</v>
      </c>
      <c r="G6" s="14" t="s">
        <v>179</v>
      </c>
      <c r="H6" s="14" t="s">
        <v>24</v>
      </c>
      <c r="I6" s="14" t="s">
        <v>84</v>
      </c>
      <c r="J6" s="18" t="s">
        <v>90</v>
      </c>
      <c r="K6" s="14" t="s">
        <v>95</v>
      </c>
      <c r="L6" s="14" t="s">
        <v>180</v>
      </c>
      <c r="M6" s="14" t="s">
        <v>181</v>
      </c>
      <c r="N6" s="14" t="s">
        <v>182</v>
      </c>
      <c r="O6" s="19" t="s">
        <v>183</v>
      </c>
      <c r="P6" s="20" t="s">
        <v>145</v>
      </c>
      <c r="Q6" s="14" t="s">
        <v>146</v>
      </c>
      <c r="R6" s="14" t="s">
        <v>146</v>
      </c>
      <c r="S6" s="14" t="s">
        <v>184</v>
      </c>
      <c r="T6" s="14" t="s">
        <v>148</v>
      </c>
      <c r="U6" s="14" t="s">
        <v>146</v>
      </c>
    </row>
    <row r="7" ht="72" customHeight="1" spans="1:21" s="14" customFormat="1" x14ac:dyDescent="0.25">
      <c r="A7" s="14">
        <v>6</v>
      </c>
      <c r="B7" s="15" t="s">
        <v>136</v>
      </c>
      <c r="C7" s="16" t="s">
        <v>185</v>
      </c>
      <c r="D7" s="17" t="s">
        <v>63</v>
      </c>
      <c r="E7" s="14" t="s">
        <v>186</v>
      </c>
      <c r="F7" s="14" t="s">
        <v>187</v>
      </c>
      <c r="G7" s="14" t="s">
        <v>188</v>
      </c>
      <c r="H7" s="14" t="s">
        <v>105</v>
      </c>
      <c r="I7" s="14" t="s">
        <v>84</v>
      </c>
      <c r="J7" s="18" t="s">
        <v>90</v>
      </c>
      <c r="K7" s="14" t="s">
        <v>95</v>
      </c>
      <c r="L7" s="14" t="s">
        <v>189</v>
      </c>
      <c r="M7" s="14" t="s">
        <v>190</v>
      </c>
      <c r="N7" s="14" t="s">
        <v>191</v>
      </c>
      <c r="O7" s="19" t="s">
        <v>192</v>
      </c>
      <c r="P7" s="20" t="s">
        <v>145</v>
      </c>
      <c r="Q7" s="14" t="s">
        <v>146</v>
      </c>
      <c r="R7" s="14" t="s">
        <v>146</v>
      </c>
      <c r="S7" s="14" t="s">
        <v>193</v>
      </c>
      <c r="T7" s="14" t="s">
        <v>148</v>
      </c>
      <c r="U7" s="14" t="s">
        <v>146</v>
      </c>
    </row>
    <row r="8" ht="72" customHeight="1" spans="1:21" s="14" customFormat="1" x14ac:dyDescent="0.25">
      <c r="A8" s="14">
        <v>7</v>
      </c>
      <c r="B8" s="15" t="s">
        <v>136</v>
      </c>
      <c r="C8" s="16" t="s">
        <v>194</v>
      </c>
      <c r="D8" s="17" t="s">
        <v>63</v>
      </c>
      <c r="E8" s="14" t="s">
        <v>195</v>
      </c>
      <c r="F8" s="14" t="s">
        <v>196</v>
      </c>
      <c r="G8" s="14" t="s">
        <v>197</v>
      </c>
      <c r="H8" s="14" t="s">
        <v>107</v>
      </c>
      <c r="I8" s="14" t="s">
        <v>84</v>
      </c>
      <c r="J8" s="18" t="s">
        <v>90</v>
      </c>
      <c r="K8" s="14" t="s">
        <v>95</v>
      </c>
      <c r="L8" s="14" t="s">
        <v>198</v>
      </c>
      <c r="M8" s="14" t="s">
        <v>199</v>
      </c>
      <c r="N8" s="14" t="s">
        <v>200</v>
      </c>
      <c r="O8" s="19" t="s">
        <v>201</v>
      </c>
      <c r="P8" s="20" t="s">
        <v>145</v>
      </c>
      <c r="Q8" s="14" t="s">
        <v>146</v>
      </c>
      <c r="R8" s="14" t="s">
        <v>146</v>
      </c>
      <c r="S8" s="14" t="s">
        <v>202</v>
      </c>
      <c r="T8" s="14" t="s">
        <v>148</v>
      </c>
      <c r="U8" s="14" t="s">
        <v>146</v>
      </c>
    </row>
    <row r="9" ht="72" customHeight="1" spans="1:21" s="14" customFormat="1" x14ac:dyDescent="0.25">
      <c r="A9" s="14">
        <v>8</v>
      </c>
      <c r="B9" s="15" t="s">
        <v>136</v>
      </c>
      <c r="C9" s="16" t="s">
        <v>203</v>
      </c>
      <c r="D9" s="17" t="s">
        <v>63</v>
      </c>
      <c r="E9" s="14" t="s">
        <v>204</v>
      </c>
      <c r="F9" s="14" t="s">
        <v>205</v>
      </c>
      <c r="G9" s="14" t="s">
        <v>206</v>
      </c>
      <c r="H9" s="14" t="s">
        <v>109</v>
      </c>
      <c r="I9" s="14" t="s">
        <v>84</v>
      </c>
      <c r="J9" s="18" t="s">
        <v>90</v>
      </c>
      <c r="K9" s="14" t="s">
        <v>95</v>
      </c>
      <c r="L9" s="14" t="s">
        <v>207</v>
      </c>
      <c r="M9" s="14" t="s">
        <v>208</v>
      </c>
      <c r="N9" s="14" t="s">
        <v>209</v>
      </c>
      <c r="O9" s="19" t="s">
        <v>210</v>
      </c>
      <c r="P9" s="21" t="s">
        <v>136</v>
      </c>
      <c r="Q9" s="14" t="s">
        <v>146</v>
      </c>
      <c r="R9" s="14" t="s">
        <v>146</v>
      </c>
      <c r="S9" s="14" t="s">
        <v>211</v>
      </c>
      <c r="T9" s="14" t="s">
        <v>148</v>
      </c>
      <c r="U9" s="14" t="s">
        <v>146</v>
      </c>
    </row>
    <row r="10" ht="72" customHeight="1" spans="1:21" s="14" customFormat="1" x14ac:dyDescent="0.25">
      <c r="A10" s="14">
        <v>9</v>
      </c>
      <c r="B10" s="15" t="s">
        <v>136</v>
      </c>
      <c r="C10" s="16" t="s">
        <v>212</v>
      </c>
      <c r="D10" s="17" t="s">
        <v>63</v>
      </c>
      <c r="E10" s="14" t="s">
        <v>213</v>
      </c>
      <c r="F10" s="14" t="s">
        <v>214</v>
      </c>
      <c r="G10" s="14" t="s">
        <v>215</v>
      </c>
      <c r="H10" s="14" t="s">
        <v>105</v>
      </c>
      <c r="I10" s="14" t="s">
        <v>84</v>
      </c>
      <c r="J10" s="18" t="s">
        <v>90</v>
      </c>
      <c r="K10" s="14" t="s">
        <v>95</v>
      </c>
      <c r="L10" s="14" t="s">
        <v>216</v>
      </c>
      <c r="M10" s="14" t="s">
        <v>217</v>
      </c>
      <c r="N10" s="14" t="s">
        <v>218</v>
      </c>
      <c r="O10" s="19" t="s">
        <v>219</v>
      </c>
      <c r="P10" s="20" t="s">
        <v>145</v>
      </c>
      <c r="Q10" s="14" t="s">
        <v>146</v>
      </c>
      <c r="R10" s="14" t="s">
        <v>146</v>
      </c>
      <c r="S10" s="14" t="s">
        <v>220</v>
      </c>
      <c r="T10" s="14" t="s">
        <v>148</v>
      </c>
      <c r="U10" s="14" t="s">
        <v>146</v>
      </c>
    </row>
    <row r="11" ht="72" customHeight="1" spans="1:21" s="14" customFormat="1" x14ac:dyDescent="0.25">
      <c r="A11" s="14">
        <v>10</v>
      </c>
      <c r="B11" s="15" t="s">
        <v>136</v>
      </c>
      <c r="C11" s="16" t="s">
        <v>221</v>
      </c>
      <c r="D11" s="17" t="s">
        <v>63</v>
      </c>
      <c r="E11" s="14" t="s">
        <v>222</v>
      </c>
      <c r="F11" s="14" t="s">
        <v>223</v>
      </c>
      <c r="G11" s="14" t="s">
        <v>224</v>
      </c>
      <c r="H11" s="14" t="s">
        <v>107</v>
      </c>
      <c r="I11" s="14" t="s">
        <v>84</v>
      </c>
      <c r="J11" s="18" t="s">
        <v>90</v>
      </c>
      <c r="K11" s="14" t="s">
        <v>95</v>
      </c>
      <c r="L11" s="14" t="s">
        <v>225</v>
      </c>
      <c r="M11" s="14" t="s">
        <v>226</v>
      </c>
      <c r="N11" s="14" t="s">
        <v>227</v>
      </c>
      <c r="O11" s="19" t="s">
        <v>228</v>
      </c>
      <c r="P11" s="20" t="s">
        <v>145</v>
      </c>
      <c r="Q11" s="14" t="s">
        <v>146</v>
      </c>
      <c r="R11" s="14" t="s">
        <v>146</v>
      </c>
      <c r="S11" s="14" t="s">
        <v>229</v>
      </c>
      <c r="T11" s="14" t="s">
        <v>148</v>
      </c>
      <c r="U11" s="14" t="s">
        <v>146</v>
      </c>
    </row>
    <row r="12" ht="72" customHeight="1" spans="1:21" s="14" customFormat="1" x14ac:dyDescent="0.25">
      <c r="A12" s="14">
        <v>11</v>
      </c>
      <c r="B12" s="15" t="s">
        <v>136</v>
      </c>
      <c r="C12" s="16" t="s">
        <v>230</v>
      </c>
      <c r="D12" s="17" t="s">
        <v>63</v>
      </c>
      <c r="E12" s="14" t="s">
        <v>231</v>
      </c>
      <c r="F12" s="14" t="s">
        <v>232</v>
      </c>
      <c r="G12" s="14" t="s">
        <v>233</v>
      </c>
      <c r="H12" s="14" t="s">
        <v>109</v>
      </c>
      <c r="I12" s="14" t="s">
        <v>84</v>
      </c>
      <c r="J12" s="18" t="s">
        <v>90</v>
      </c>
      <c r="K12" s="14" t="s">
        <v>95</v>
      </c>
      <c r="L12" s="14" t="s">
        <v>234</v>
      </c>
      <c r="M12" s="14" t="s">
        <v>235</v>
      </c>
      <c r="N12" s="14" t="s">
        <v>236</v>
      </c>
      <c r="O12" s="19" t="s">
        <v>237</v>
      </c>
      <c r="P12" s="21" t="s">
        <v>136</v>
      </c>
      <c r="Q12" s="14" t="s">
        <v>146</v>
      </c>
      <c r="R12" s="14" t="s">
        <v>146</v>
      </c>
      <c r="S12" s="14" t="s">
        <v>238</v>
      </c>
      <c r="T12" s="14" t="s">
        <v>148</v>
      </c>
      <c r="U12" s="14" t="s">
        <v>146</v>
      </c>
    </row>
    <row r="13" ht="72" customHeight="1" spans="1:21" s="14" customFormat="1" x14ac:dyDescent="0.25">
      <c r="A13" s="14">
        <v>12</v>
      </c>
      <c r="B13" s="15" t="s">
        <v>136</v>
      </c>
      <c r="C13" s="16" t="s">
        <v>239</v>
      </c>
      <c r="D13" s="17" t="s">
        <v>63</v>
      </c>
      <c r="E13" s="14" t="s">
        <v>240</v>
      </c>
      <c r="F13" s="14" t="s">
        <v>241</v>
      </c>
      <c r="G13" s="14" t="s">
        <v>242</v>
      </c>
      <c r="H13" s="14" t="s">
        <v>24</v>
      </c>
      <c r="I13" s="22" t="s">
        <v>86</v>
      </c>
      <c r="J13" s="18" t="s">
        <v>90</v>
      </c>
      <c r="K13" s="14" t="s">
        <v>95</v>
      </c>
      <c r="L13" s="14" t="s">
        <v>243</v>
      </c>
      <c r="M13" s="14" t="s">
        <v>244</v>
      </c>
      <c r="N13" s="14" t="s">
        <v>245</v>
      </c>
      <c r="O13" s="19" t="s">
        <v>246</v>
      </c>
      <c r="P13" s="20" t="s">
        <v>145</v>
      </c>
      <c r="Q13" s="14" t="s">
        <v>146</v>
      </c>
      <c r="R13" s="14" t="s">
        <v>146</v>
      </c>
      <c r="S13" s="14" t="s">
        <v>247</v>
      </c>
      <c r="T13" s="14" t="s">
        <v>148</v>
      </c>
      <c r="U13" s="14" t="s">
        <v>146</v>
      </c>
    </row>
    <row r="14" ht="72" customHeight="1" spans="1:21" s="14" customFormat="1" x14ac:dyDescent="0.25">
      <c r="A14" s="14">
        <v>13</v>
      </c>
      <c r="B14" s="15" t="s">
        <v>136</v>
      </c>
      <c r="C14" s="16" t="s">
        <v>248</v>
      </c>
      <c r="D14" s="23" t="s">
        <v>65</v>
      </c>
      <c r="E14" s="14" t="s">
        <v>249</v>
      </c>
      <c r="F14" s="14" t="s">
        <v>250</v>
      </c>
      <c r="G14" s="14" t="s">
        <v>251</v>
      </c>
      <c r="H14" s="14" t="s">
        <v>113</v>
      </c>
      <c r="I14" s="14" t="s">
        <v>84</v>
      </c>
      <c r="J14" s="18" t="s">
        <v>90</v>
      </c>
      <c r="K14" s="14" t="s">
        <v>97</v>
      </c>
      <c r="L14" s="14" t="s">
        <v>252</v>
      </c>
      <c r="M14" s="14" t="s">
        <v>253</v>
      </c>
      <c r="N14" s="14" t="s">
        <v>254</v>
      </c>
      <c r="O14" s="19" t="s">
        <v>255</v>
      </c>
      <c r="P14" s="20" t="s">
        <v>145</v>
      </c>
      <c r="Q14" s="14" t="s">
        <v>146</v>
      </c>
      <c r="R14" s="14" t="s">
        <v>146</v>
      </c>
      <c r="S14" s="14" t="s">
        <v>256</v>
      </c>
      <c r="T14" s="14" t="s">
        <v>257</v>
      </c>
      <c r="U14" s="14" t="s">
        <v>146</v>
      </c>
    </row>
    <row r="15" ht="72" customHeight="1" spans="1:21" s="14" customFormat="1" x14ac:dyDescent="0.25">
      <c r="A15" s="14">
        <v>14</v>
      </c>
      <c r="B15" s="15" t="s">
        <v>136</v>
      </c>
      <c r="C15" s="16" t="s">
        <v>258</v>
      </c>
      <c r="D15" s="23" t="s">
        <v>65</v>
      </c>
      <c r="E15" s="14" t="s">
        <v>259</v>
      </c>
      <c r="F15" s="14" t="s">
        <v>260</v>
      </c>
      <c r="G15" s="14" t="s">
        <v>261</v>
      </c>
      <c r="H15" s="14" t="s">
        <v>113</v>
      </c>
      <c r="I15" s="14" t="s">
        <v>84</v>
      </c>
      <c r="J15" s="18" t="s">
        <v>90</v>
      </c>
      <c r="K15" s="14" t="s">
        <v>97</v>
      </c>
      <c r="L15" s="14" t="s">
        <v>262</v>
      </c>
      <c r="M15" s="14" t="s">
        <v>263</v>
      </c>
      <c r="N15" s="14" t="s">
        <v>264</v>
      </c>
      <c r="O15" s="19" t="s">
        <v>255</v>
      </c>
      <c r="P15" s="20" t="s">
        <v>145</v>
      </c>
      <c r="Q15" s="14" t="s">
        <v>146</v>
      </c>
      <c r="R15" s="14" t="s">
        <v>146</v>
      </c>
      <c r="S15" s="14" t="s">
        <v>265</v>
      </c>
      <c r="T15" s="14" t="s">
        <v>257</v>
      </c>
      <c r="U15" s="14" t="s">
        <v>146</v>
      </c>
    </row>
    <row r="16" ht="72" customHeight="1" spans="1:21" s="14" customFormat="1" x14ac:dyDescent="0.25">
      <c r="A16" s="14">
        <v>15</v>
      </c>
      <c r="B16" s="15" t="s">
        <v>136</v>
      </c>
      <c r="C16" s="16" t="s">
        <v>266</v>
      </c>
      <c r="D16" s="23" t="s">
        <v>65</v>
      </c>
      <c r="E16" s="14" t="s">
        <v>259</v>
      </c>
      <c r="F16" s="14" t="s">
        <v>267</v>
      </c>
      <c r="G16" s="14" t="s">
        <v>268</v>
      </c>
      <c r="H16" s="14" t="s">
        <v>113</v>
      </c>
      <c r="I16" s="14" t="s">
        <v>84</v>
      </c>
      <c r="J16" s="18" t="s">
        <v>90</v>
      </c>
      <c r="K16" s="14" t="s">
        <v>97</v>
      </c>
      <c r="L16" s="14" t="s">
        <v>252</v>
      </c>
      <c r="M16" s="14" t="s">
        <v>269</v>
      </c>
      <c r="N16" s="14" t="s">
        <v>270</v>
      </c>
      <c r="O16" s="19" t="s">
        <v>271</v>
      </c>
      <c r="P16" s="20" t="s">
        <v>145</v>
      </c>
      <c r="Q16" s="14" t="s">
        <v>146</v>
      </c>
      <c r="R16" s="14" t="s">
        <v>146</v>
      </c>
      <c r="S16" s="14" t="s">
        <v>272</v>
      </c>
      <c r="T16" s="14" t="s">
        <v>257</v>
      </c>
      <c r="U16" s="14" t="s">
        <v>146</v>
      </c>
    </row>
    <row r="17" ht="72" customHeight="1" spans="1:21" s="14" customFormat="1" x14ac:dyDescent="0.25">
      <c r="A17" s="14">
        <v>16</v>
      </c>
      <c r="B17" s="15" t="s">
        <v>136</v>
      </c>
      <c r="C17" s="16" t="s">
        <v>273</v>
      </c>
      <c r="D17" s="23" t="s">
        <v>65</v>
      </c>
      <c r="E17" s="14" t="s">
        <v>259</v>
      </c>
      <c r="F17" s="14" t="s">
        <v>274</v>
      </c>
      <c r="G17" s="14" t="s">
        <v>275</v>
      </c>
      <c r="H17" s="14" t="s">
        <v>113</v>
      </c>
      <c r="I17" s="14" t="s">
        <v>84</v>
      </c>
      <c r="J17" s="18" t="s">
        <v>90</v>
      </c>
      <c r="K17" s="14" t="s">
        <v>97</v>
      </c>
      <c r="L17" s="14" t="s">
        <v>276</v>
      </c>
      <c r="M17" s="14" t="s">
        <v>277</v>
      </c>
      <c r="N17" s="14" t="s">
        <v>278</v>
      </c>
      <c r="O17" s="19" t="s">
        <v>279</v>
      </c>
      <c r="P17" s="20" t="s">
        <v>145</v>
      </c>
      <c r="Q17" s="14" t="s">
        <v>146</v>
      </c>
      <c r="R17" s="14" t="s">
        <v>146</v>
      </c>
      <c r="S17" s="14" t="s">
        <v>280</v>
      </c>
      <c r="T17" s="14" t="s">
        <v>257</v>
      </c>
      <c r="U17" s="14" t="s">
        <v>146</v>
      </c>
    </row>
    <row r="18" ht="72" customHeight="1" spans="1:21" s="14" customFormat="1" x14ac:dyDescent="0.25">
      <c r="A18" s="14">
        <v>17</v>
      </c>
      <c r="B18" s="15" t="s">
        <v>136</v>
      </c>
      <c r="C18" s="16" t="s">
        <v>281</v>
      </c>
      <c r="D18" s="23" t="s">
        <v>65</v>
      </c>
      <c r="E18" s="14" t="s">
        <v>249</v>
      </c>
      <c r="F18" s="14" t="s">
        <v>282</v>
      </c>
      <c r="G18" s="14" t="s">
        <v>283</v>
      </c>
      <c r="H18" s="14" t="s">
        <v>113</v>
      </c>
      <c r="I18" s="14" t="s">
        <v>84</v>
      </c>
      <c r="J18" s="18" t="s">
        <v>90</v>
      </c>
      <c r="K18" s="14" t="s">
        <v>97</v>
      </c>
      <c r="L18" s="14" t="s">
        <v>252</v>
      </c>
      <c r="M18" s="14" t="s">
        <v>284</v>
      </c>
      <c r="N18" s="14" t="s">
        <v>285</v>
      </c>
      <c r="O18" s="19" t="s">
        <v>286</v>
      </c>
      <c r="P18" s="20" t="s">
        <v>145</v>
      </c>
      <c r="Q18" s="14" t="s">
        <v>146</v>
      </c>
      <c r="R18" s="14" t="s">
        <v>146</v>
      </c>
      <c r="S18" s="14" t="s">
        <v>287</v>
      </c>
      <c r="T18" s="14" t="s">
        <v>257</v>
      </c>
      <c r="U18" s="14" t="s">
        <v>146</v>
      </c>
    </row>
    <row r="19" ht="72" customHeight="1" spans="1:21" s="14" customFormat="1" x14ac:dyDescent="0.25">
      <c r="A19" s="14">
        <v>18</v>
      </c>
      <c r="B19" s="15" t="s">
        <v>136</v>
      </c>
      <c r="C19" s="16" t="s">
        <v>288</v>
      </c>
      <c r="D19" s="23" t="s">
        <v>65</v>
      </c>
      <c r="E19" s="14" t="s">
        <v>289</v>
      </c>
      <c r="F19" s="14" t="s">
        <v>290</v>
      </c>
      <c r="G19" s="14" t="s">
        <v>291</v>
      </c>
      <c r="H19" s="14" t="s">
        <v>113</v>
      </c>
      <c r="I19" s="14" t="s">
        <v>84</v>
      </c>
      <c r="J19" s="18" t="s">
        <v>90</v>
      </c>
      <c r="K19" s="14" t="s">
        <v>97</v>
      </c>
      <c r="L19" s="14" t="s">
        <v>252</v>
      </c>
      <c r="M19" s="14" t="s">
        <v>292</v>
      </c>
      <c r="N19" s="14" t="s">
        <v>293</v>
      </c>
      <c r="O19" s="19" t="s">
        <v>294</v>
      </c>
      <c r="P19" s="20" t="s">
        <v>145</v>
      </c>
      <c r="Q19" s="14" t="s">
        <v>146</v>
      </c>
      <c r="R19" s="14" t="s">
        <v>146</v>
      </c>
      <c r="S19" s="14" t="s">
        <v>295</v>
      </c>
      <c r="T19" s="14" t="s">
        <v>257</v>
      </c>
      <c r="U19" s="14" t="s">
        <v>146</v>
      </c>
    </row>
    <row r="20" ht="72" customHeight="1" spans="1:21" s="14" customFormat="1" x14ac:dyDescent="0.25">
      <c r="A20" s="14">
        <v>19</v>
      </c>
      <c r="B20" s="15" t="s">
        <v>136</v>
      </c>
      <c r="C20" s="16" t="s">
        <v>296</v>
      </c>
      <c r="D20" s="23" t="s">
        <v>65</v>
      </c>
      <c r="E20" s="14" t="s">
        <v>289</v>
      </c>
      <c r="F20" s="14" t="s">
        <v>297</v>
      </c>
      <c r="G20" s="14" t="s">
        <v>298</v>
      </c>
      <c r="H20" s="14" t="s">
        <v>113</v>
      </c>
      <c r="I20" s="22" t="s">
        <v>86</v>
      </c>
      <c r="J20" s="18" t="s">
        <v>90</v>
      </c>
      <c r="K20" s="14" t="s">
        <v>97</v>
      </c>
      <c r="L20" s="14" t="s">
        <v>252</v>
      </c>
      <c r="M20" s="14" t="s">
        <v>299</v>
      </c>
      <c r="N20" s="14" t="s">
        <v>300</v>
      </c>
      <c r="O20" s="19" t="s">
        <v>301</v>
      </c>
      <c r="P20" s="20" t="s">
        <v>145</v>
      </c>
      <c r="Q20" s="14" t="s">
        <v>146</v>
      </c>
      <c r="R20" s="14" t="s">
        <v>146</v>
      </c>
      <c r="S20" s="14" t="s">
        <v>302</v>
      </c>
      <c r="T20" s="14" t="s">
        <v>257</v>
      </c>
      <c r="U20" s="14" t="s">
        <v>146</v>
      </c>
    </row>
    <row r="21" ht="72" customHeight="1" spans="1:21" s="14" customFormat="1" x14ac:dyDescent="0.25">
      <c r="A21" s="14">
        <v>20</v>
      </c>
      <c r="B21" s="15" t="s">
        <v>136</v>
      </c>
      <c r="C21" s="16" t="s">
        <v>303</v>
      </c>
      <c r="D21" s="23" t="s">
        <v>65</v>
      </c>
      <c r="E21" s="14" t="s">
        <v>304</v>
      </c>
      <c r="F21" s="14" t="s">
        <v>305</v>
      </c>
      <c r="G21" s="14" t="s">
        <v>306</v>
      </c>
      <c r="H21" s="14" t="s">
        <v>113</v>
      </c>
      <c r="I21" s="22" t="s">
        <v>80</v>
      </c>
      <c r="J21" s="18" t="s">
        <v>90</v>
      </c>
      <c r="K21" s="14" t="s">
        <v>95</v>
      </c>
      <c r="L21" s="14" t="s">
        <v>252</v>
      </c>
      <c r="M21" s="14" t="s">
        <v>307</v>
      </c>
      <c r="N21" s="14" t="s">
        <v>308</v>
      </c>
      <c r="O21" s="19" t="s">
        <v>309</v>
      </c>
      <c r="P21" s="20" t="s">
        <v>145</v>
      </c>
      <c r="Q21" s="14" t="s">
        <v>146</v>
      </c>
      <c r="R21" s="14" t="s">
        <v>146</v>
      </c>
      <c r="S21" s="14" t="s">
        <v>310</v>
      </c>
      <c r="T21" s="14" t="s">
        <v>257</v>
      </c>
      <c r="U21" s="14" t="s">
        <v>146</v>
      </c>
    </row>
    <row r="22" ht="72" customHeight="1" spans="1:21" s="14" customFormat="1" x14ac:dyDescent="0.25">
      <c r="A22" s="14">
        <v>21</v>
      </c>
      <c r="B22" s="15" t="s">
        <v>136</v>
      </c>
      <c r="C22" s="16" t="s">
        <v>311</v>
      </c>
      <c r="D22" s="23" t="s">
        <v>65</v>
      </c>
      <c r="E22" s="14" t="s">
        <v>304</v>
      </c>
      <c r="F22" s="14" t="s">
        <v>312</v>
      </c>
      <c r="G22" s="14" t="s">
        <v>313</v>
      </c>
      <c r="H22" s="14" t="s">
        <v>113</v>
      </c>
      <c r="I22" s="22" t="s">
        <v>80</v>
      </c>
      <c r="J22" s="18" t="s">
        <v>90</v>
      </c>
      <c r="K22" s="14" t="s">
        <v>95</v>
      </c>
      <c r="L22" s="14" t="s">
        <v>252</v>
      </c>
      <c r="M22" s="14" t="s">
        <v>314</v>
      </c>
      <c r="N22" s="14" t="s">
        <v>315</v>
      </c>
      <c r="O22" s="19" t="s">
        <v>316</v>
      </c>
      <c r="P22" s="20" t="s">
        <v>145</v>
      </c>
      <c r="Q22" s="14" t="s">
        <v>146</v>
      </c>
      <c r="R22" s="14" t="s">
        <v>146</v>
      </c>
      <c r="S22" s="14" t="s">
        <v>317</v>
      </c>
      <c r="T22" s="14" t="s">
        <v>257</v>
      </c>
      <c r="U22" s="14" t="s">
        <v>146</v>
      </c>
    </row>
    <row r="23" ht="72" customHeight="1" spans="1:21" s="14" customFormat="1" x14ac:dyDescent="0.25">
      <c r="A23" s="14">
        <v>22</v>
      </c>
      <c r="B23" s="15" t="s">
        <v>136</v>
      </c>
      <c r="C23" s="16" t="s">
        <v>318</v>
      </c>
      <c r="D23" s="23" t="s">
        <v>65</v>
      </c>
      <c r="E23" s="14" t="s">
        <v>304</v>
      </c>
      <c r="F23" s="14" t="s">
        <v>319</v>
      </c>
      <c r="G23" s="14" t="s">
        <v>320</v>
      </c>
      <c r="H23" s="14" t="s">
        <v>113</v>
      </c>
      <c r="I23" s="22" t="s">
        <v>80</v>
      </c>
      <c r="J23" s="18" t="s">
        <v>90</v>
      </c>
      <c r="K23" s="14" t="s">
        <v>95</v>
      </c>
      <c r="L23" s="14" t="s">
        <v>252</v>
      </c>
      <c r="M23" s="14" t="s">
        <v>321</v>
      </c>
      <c r="N23" s="14" t="s">
        <v>322</v>
      </c>
      <c r="O23" s="19" t="s">
        <v>323</v>
      </c>
      <c r="P23" s="20" t="s">
        <v>145</v>
      </c>
      <c r="Q23" s="14" t="s">
        <v>146</v>
      </c>
      <c r="R23" s="14" t="s">
        <v>146</v>
      </c>
      <c r="S23" s="14" t="s">
        <v>324</v>
      </c>
      <c r="T23" s="14" t="s">
        <v>257</v>
      </c>
      <c r="U23" s="14" t="s">
        <v>146</v>
      </c>
    </row>
    <row r="24" ht="72" customHeight="1" spans="1:21" s="14" customFormat="1" x14ac:dyDescent="0.25">
      <c r="A24" s="14">
        <v>23</v>
      </c>
      <c r="B24" s="15" t="s">
        <v>136</v>
      </c>
      <c r="C24" s="16" t="s">
        <v>325</v>
      </c>
      <c r="D24" s="23" t="s">
        <v>65</v>
      </c>
      <c r="E24" s="14" t="s">
        <v>304</v>
      </c>
      <c r="F24" s="14" t="s">
        <v>326</v>
      </c>
      <c r="G24" s="14" t="s">
        <v>327</v>
      </c>
      <c r="H24" s="14" t="s">
        <v>113</v>
      </c>
      <c r="I24" s="22" t="s">
        <v>86</v>
      </c>
      <c r="J24" s="18" t="s">
        <v>90</v>
      </c>
      <c r="K24" s="14" t="s">
        <v>97</v>
      </c>
      <c r="L24" s="14" t="s">
        <v>252</v>
      </c>
      <c r="M24" s="14" t="s">
        <v>328</v>
      </c>
      <c r="N24" s="14" t="s">
        <v>329</v>
      </c>
      <c r="O24" s="19" t="s">
        <v>330</v>
      </c>
      <c r="P24" s="20" t="s">
        <v>145</v>
      </c>
      <c r="Q24" s="14" t="s">
        <v>146</v>
      </c>
      <c r="R24" s="14" t="s">
        <v>146</v>
      </c>
      <c r="S24" s="14" t="s">
        <v>331</v>
      </c>
      <c r="T24" s="14" t="s">
        <v>257</v>
      </c>
      <c r="U24" s="14" t="s">
        <v>146</v>
      </c>
    </row>
    <row r="25" ht="72" customHeight="1" spans="1:21" s="14" customFormat="1" x14ac:dyDescent="0.25">
      <c r="A25" s="14">
        <v>24</v>
      </c>
      <c r="B25" s="15" t="s">
        <v>136</v>
      </c>
      <c r="C25" s="16" t="s">
        <v>332</v>
      </c>
      <c r="D25" s="23" t="s">
        <v>65</v>
      </c>
      <c r="E25" s="14" t="s">
        <v>304</v>
      </c>
      <c r="F25" s="14" t="s">
        <v>333</v>
      </c>
      <c r="G25" s="14" t="s">
        <v>334</v>
      </c>
      <c r="H25" s="14" t="s">
        <v>113</v>
      </c>
      <c r="I25" s="22" t="s">
        <v>86</v>
      </c>
      <c r="J25" s="18" t="s">
        <v>90</v>
      </c>
      <c r="K25" s="14" t="s">
        <v>97</v>
      </c>
      <c r="L25" s="14" t="s">
        <v>252</v>
      </c>
      <c r="M25" s="14" t="s">
        <v>335</v>
      </c>
      <c r="N25" s="14" t="s">
        <v>336</v>
      </c>
      <c r="O25" s="19" t="s">
        <v>337</v>
      </c>
      <c r="P25" s="20" t="s">
        <v>145</v>
      </c>
      <c r="Q25" s="14" t="s">
        <v>146</v>
      </c>
      <c r="R25" s="14" t="s">
        <v>146</v>
      </c>
      <c r="S25" s="14" t="s">
        <v>338</v>
      </c>
      <c r="T25" s="14" t="s">
        <v>257</v>
      </c>
      <c r="U25" s="14" t="s">
        <v>146</v>
      </c>
    </row>
    <row r="26" ht="72" customHeight="1" spans="1:21" s="14" customFormat="1" x14ac:dyDescent="0.25">
      <c r="A26" s="14">
        <v>25</v>
      </c>
      <c r="B26" s="15" t="s">
        <v>136</v>
      </c>
      <c r="C26" s="16" t="s">
        <v>339</v>
      </c>
      <c r="D26" s="23" t="s">
        <v>65</v>
      </c>
      <c r="E26" s="14" t="s">
        <v>304</v>
      </c>
      <c r="F26" s="14" t="s">
        <v>340</v>
      </c>
      <c r="G26" s="14" t="s">
        <v>341</v>
      </c>
      <c r="H26" s="14" t="s">
        <v>113</v>
      </c>
      <c r="I26" s="22" t="s">
        <v>86</v>
      </c>
      <c r="J26" s="18" t="s">
        <v>90</v>
      </c>
      <c r="K26" s="14" t="s">
        <v>97</v>
      </c>
      <c r="L26" s="14" t="s">
        <v>252</v>
      </c>
      <c r="M26" s="14" t="s">
        <v>342</v>
      </c>
      <c r="N26" s="14" t="s">
        <v>343</v>
      </c>
      <c r="O26" s="19" t="s">
        <v>344</v>
      </c>
      <c r="P26" s="20" t="s">
        <v>145</v>
      </c>
      <c r="Q26" s="14" t="s">
        <v>146</v>
      </c>
      <c r="R26" s="14" t="s">
        <v>146</v>
      </c>
      <c r="S26" s="14" t="s">
        <v>345</v>
      </c>
      <c r="T26" s="14" t="s">
        <v>257</v>
      </c>
      <c r="U26" s="14" t="s">
        <v>146</v>
      </c>
    </row>
    <row r="27" ht="72" customHeight="1" spans="1:21" s="14" customFormat="1" x14ac:dyDescent="0.25">
      <c r="A27" s="14">
        <v>26</v>
      </c>
      <c r="B27" s="15" t="s">
        <v>136</v>
      </c>
      <c r="C27" s="16" t="s">
        <v>346</v>
      </c>
      <c r="D27" s="23" t="s">
        <v>65</v>
      </c>
      <c r="E27" s="14" t="s">
        <v>347</v>
      </c>
      <c r="F27" s="14" t="s">
        <v>348</v>
      </c>
      <c r="G27" s="14" t="s">
        <v>349</v>
      </c>
      <c r="H27" s="14" t="s">
        <v>113</v>
      </c>
      <c r="I27" s="14" t="s">
        <v>84</v>
      </c>
      <c r="J27" s="18" t="s">
        <v>90</v>
      </c>
      <c r="K27" s="14" t="s">
        <v>97</v>
      </c>
      <c r="L27" s="14" t="s">
        <v>252</v>
      </c>
      <c r="M27" s="14" t="s">
        <v>350</v>
      </c>
      <c r="N27" s="14" t="s">
        <v>351</v>
      </c>
      <c r="O27" s="19" t="s">
        <v>352</v>
      </c>
      <c r="P27" s="20" t="s">
        <v>145</v>
      </c>
      <c r="Q27" s="14" t="s">
        <v>146</v>
      </c>
      <c r="R27" s="14" t="s">
        <v>146</v>
      </c>
      <c r="S27" s="14" t="s">
        <v>353</v>
      </c>
      <c r="T27" s="14" t="s">
        <v>257</v>
      </c>
      <c r="U27" s="14" t="s">
        <v>146</v>
      </c>
    </row>
    <row r="28" ht="72" customHeight="1" spans="1:21" s="14" customFormat="1" x14ac:dyDescent="0.25">
      <c r="A28" s="14">
        <v>27</v>
      </c>
      <c r="B28" s="15" t="s">
        <v>136</v>
      </c>
      <c r="C28" s="16" t="s">
        <v>354</v>
      </c>
      <c r="D28" s="23" t="s">
        <v>65</v>
      </c>
      <c r="E28" s="14" t="s">
        <v>355</v>
      </c>
      <c r="F28" s="14" t="s">
        <v>356</v>
      </c>
      <c r="G28" s="14" t="s">
        <v>357</v>
      </c>
      <c r="H28" s="14" t="s">
        <v>113</v>
      </c>
      <c r="I28" s="22" t="s">
        <v>86</v>
      </c>
      <c r="J28" s="18" t="s">
        <v>90</v>
      </c>
      <c r="K28" s="14" t="s">
        <v>97</v>
      </c>
      <c r="L28" s="14" t="s">
        <v>252</v>
      </c>
      <c r="M28" s="14" t="s">
        <v>358</v>
      </c>
      <c r="N28" s="14" t="s">
        <v>359</v>
      </c>
      <c r="O28" s="19" t="s">
        <v>360</v>
      </c>
      <c r="P28" s="20" t="s">
        <v>145</v>
      </c>
      <c r="Q28" s="14" t="s">
        <v>146</v>
      </c>
      <c r="R28" s="14" t="s">
        <v>146</v>
      </c>
      <c r="S28" s="14" t="s">
        <v>361</v>
      </c>
      <c r="T28" s="14" t="s">
        <v>257</v>
      </c>
      <c r="U28" s="14" t="s">
        <v>146</v>
      </c>
    </row>
    <row r="29" ht="72" customHeight="1" spans="1:21" s="14" customFormat="1" x14ac:dyDescent="0.25">
      <c r="A29" s="14">
        <v>28</v>
      </c>
      <c r="B29" s="15" t="s">
        <v>136</v>
      </c>
      <c r="C29" s="16" t="s">
        <v>362</v>
      </c>
      <c r="D29" s="23" t="s">
        <v>65</v>
      </c>
      <c r="E29" s="14" t="s">
        <v>363</v>
      </c>
      <c r="F29" s="14" t="s">
        <v>364</v>
      </c>
      <c r="G29" s="14" t="s">
        <v>365</v>
      </c>
      <c r="H29" s="14" t="s">
        <v>113</v>
      </c>
      <c r="I29" s="22" t="s">
        <v>86</v>
      </c>
      <c r="J29" s="18" t="s">
        <v>90</v>
      </c>
      <c r="K29" s="14" t="s">
        <v>97</v>
      </c>
      <c r="L29" s="14" t="s">
        <v>252</v>
      </c>
      <c r="M29" s="14" t="s">
        <v>366</v>
      </c>
      <c r="N29" s="14" t="s">
        <v>367</v>
      </c>
      <c r="O29" s="19" t="s">
        <v>368</v>
      </c>
      <c r="P29" s="20" t="s">
        <v>145</v>
      </c>
      <c r="Q29" s="14" t="s">
        <v>146</v>
      </c>
      <c r="R29" s="14" t="s">
        <v>146</v>
      </c>
      <c r="S29" s="14" t="s">
        <v>369</v>
      </c>
      <c r="T29" s="14" t="s">
        <v>257</v>
      </c>
      <c r="U29" s="14" t="s">
        <v>146</v>
      </c>
    </row>
    <row r="30" ht="72" customHeight="1" spans="1:21" s="14" customFormat="1" x14ac:dyDescent="0.25">
      <c r="A30" s="14">
        <v>29</v>
      </c>
      <c r="B30" s="15" t="s">
        <v>136</v>
      </c>
      <c r="C30" s="16" t="s">
        <v>370</v>
      </c>
      <c r="D30" s="23" t="s">
        <v>65</v>
      </c>
      <c r="E30" s="14" t="s">
        <v>371</v>
      </c>
      <c r="F30" s="14" t="s">
        <v>372</v>
      </c>
      <c r="G30" s="14" t="s">
        <v>373</v>
      </c>
      <c r="H30" s="14" t="s">
        <v>113</v>
      </c>
      <c r="I30" s="22" t="s">
        <v>86</v>
      </c>
      <c r="J30" s="18" t="s">
        <v>90</v>
      </c>
      <c r="K30" s="14" t="s">
        <v>97</v>
      </c>
      <c r="L30" s="14" t="s">
        <v>252</v>
      </c>
      <c r="M30" s="14" t="s">
        <v>374</v>
      </c>
      <c r="N30" s="14" t="s">
        <v>375</v>
      </c>
      <c r="O30" s="19" t="s">
        <v>255</v>
      </c>
      <c r="P30" s="20" t="s">
        <v>145</v>
      </c>
      <c r="Q30" s="14" t="s">
        <v>146</v>
      </c>
      <c r="R30" s="14" t="s">
        <v>146</v>
      </c>
      <c r="S30" s="14" t="s">
        <v>376</v>
      </c>
      <c r="T30" s="14" t="s">
        <v>257</v>
      </c>
      <c r="U30" s="14" t="s">
        <v>146</v>
      </c>
    </row>
    <row r="31" ht="72" customHeight="1" spans="1:21" s="14" customFormat="1" x14ac:dyDescent="0.25">
      <c r="A31" s="14">
        <v>30</v>
      </c>
      <c r="B31" s="15" t="s">
        <v>136</v>
      </c>
      <c r="C31" s="16" t="s">
        <v>377</v>
      </c>
      <c r="D31" s="23" t="s">
        <v>65</v>
      </c>
      <c r="E31" s="14" t="s">
        <v>378</v>
      </c>
      <c r="F31" s="14" t="s">
        <v>379</v>
      </c>
      <c r="G31" s="14" t="s">
        <v>380</v>
      </c>
      <c r="H31" s="14" t="s">
        <v>26</v>
      </c>
      <c r="I31" s="24" t="s">
        <v>26</v>
      </c>
      <c r="J31" s="18" t="s">
        <v>90</v>
      </c>
      <c r="K31" s="14" t="s">
        <v>95</v>
      </c>
      <c r="L31" s="14" t="s">
        <v>252</v>
      </c>
      <c r="M31" s="14" t="s">
        <v>381</v>
      </c>
      <c r="N31" s="14" t="s">
        <v>382</v>
      </c>
      <c r="O31" s="19" t="s">
        <v>383</v>
      </c>
      <c r="P31" s="20" t="s">
        <v>145</v>
      </c>
      <c r="Q31" s="14" t="s">
        <v>384</v>
      </c>
      <c r="R31" s="14" t="s">
        <v>385</v>
      </c>
      <c r="S31" s="14" t="s">
        <v>386</v>
      </c>
      <c r="T31" s="14" t="s">
        <v>257</v>
      </c>
      <c r="U31" s="14" t="s">
        <v>146</v>
      </c>
    </row>
    <row r="32" ht="72" customHeight="1" spans="1:21" s="14" customFormat="1" x14ac:dyDescent="0.25">
      <c r="A32" s="14">
        <v>31</v>
      </c>
      <c r="B32" s="15" t="s">
        <v>136</v>
      </c>
      <c r="C32" s="16" t="s">
        <v>387</v>
      </c>
      <c r="D32" s="23" t="s">
        <v>65</v>
      </c>
      <c r="E32" s="14" t="s">
        <v>388</v>
      </c>
      <c r="F32" s="14" t="s">
        <v>389</v>
      </c>
      <c r="G32" s="14" t="s">
        <v>390</v>
      </c>
      <c r="H32" s="14" t="s">
        <v>111</v>
      </c>
      <c r="I32" s="14" t="s">
        <v>84</v>
      </c>
      <c r="J32" s="18" t="s">
        <v>90</v>
      </c>
      <c r="K32" s="14" t="s">
        <v>95</v>
      </c>
      <c r="L32" s="14" t="s">
        <v>391</v>
      </c>
      <c r="M32" s="14" t="s">
        <v>392</v>
      </c>
      <c r="N32" s="14" t="s">
        <v>393</v>
      </c>
      <c r="O32" s="19" t="s">
        <v>394</v>
      </c>
      <c r="P32" s="21" t="s">
        <v>136</v>
      </c>
      <c r="Q32" s="14" t="s">
        <v>146</v>
      </c>
      <c r="R32" s="14" t="s">
        <v>146</v>
      </c>
      <c r="S32" s="14" t="s">
        <v>395</v>
      </c>
      <c r="T32" s="14" t="s">
        <v>257</v>
      </c>
      <c r="U32" s="14" t="s">
        <v>146</v>
      </c>
    </row>
    <row r="33" ht="72" customHeight="1" spans="1:21" s="14" customFormat="1" x14ac:dyDescent="0.25">
      <c r="A33" s="14">
        <v>32</v>
      </c>
      <c r="B33" s="15" t="s">
        <v>136</v>
      </c>
      <c r="C33" s="16" t="s">
        <v>396</v>
      </c>
      <c r="D33" s="23" t="s">
        <v>65</v>
      </c>
      <c r="E33" s="14" t="s">
        <v>397</v>
      </c>
      <c r="F33" s="14" t="s">
        <v>398</v>
      </c>
      <c r="G33" s="14" t="s">
        <v>399</v>
      </c>
      <c r="H33" s="14" t="s">
        <v>111</v>
      </c>
      <c r="I33" s="14" t="s">
        <v>84</v>
      </c>
      <c r="J33" s="18" t="s">
        <v>90</v>
      </c>
      <c r="K33" s="14" t="s">
        <v>95</v>
      </c>
      <c r="L33" s="14" t="s">
        <v>400</v>
      </c>
      <c r="M33" s="14" t="s">
        <v>401</v>
      </c>
      <c r="N33" s="14" t="s">
        <v>402</v>
      </c>
      <c r="O33" s="19" t="s">
        <v>403</v>
      </c>
      <c r="P33" s="20" t="s">
        <v>145</v>
      </c>
      <c r="Q33" s="14" t="s">
        <v>146</v>
      </c>
      <c r="R33" s="14" t="s">
        <v>146</v>
      </c>
      <c r="S33" s="14" t="s">
        <v>404</v>
      </c>
      <c r="T33" s="14" t="s">
        <v>257</v>
      </c>
      <c r="U33" s="14" t="s">
        <v>146</v>
      </c>
    </row>
    <row r="34" ht="72" customHeight="1" spans="1:21" s="14" customFormat="1" x14ac:dyDescent="0.25">
      <c r="A34" s="14">
        <v>33</v>
      </c>
      <c r="B34" s="15" t="s">
        <v>136</v>
      </c>
      <c r="C34" s="16" t="s">
        <v>405</v>
      </c>
      <c r="D34" s="23" t="s">
        <v>65</v>
      </c>
      <c r="E34" s="14" t="s">
        <v>406</v>
      </c>
      <c r="F34" s="14" t="s">
        <v>407</v>
      </c>
      <c r="G34" s="14" t="s">
        <v>408</v>
      </c>
      <c r="H34" s="14" t="s">
        <v>111</v>
      </c>
      <c r="I34" s="22" t="s">
        <v>80</v>
      </c>
      <c r="J34" s="18" t="s">
        <v>90</v>
      </c>
      <c r="K34" s="14" t="s">
        <v>95</v>
      </c>
      <c r="L34" s="14" t="s">
        <v>400</v>
      </c>
      <c r="M34" s="14" t="s">
        <v>409</v>
      </c>
      <c r="N34" s="14" t="s">
        <v>410</v>
      </c>
      <c r="O34" s="19" t="s">
        <v>411</v>
      </c>
      <c r="P34" s="20" t="s">
        <v>145</v>
      </c>
      <c r="Q34" s="14" t="s">
        <v>146</v>
      </c>
      <c r="R34" s="14" t="s">
        <v>146</v>
      </c>
      <c r="S34" s="14" t="s">
        <v>412</v>
      </c>
      <c r="T34" s="14" t="s">
        <v>257</v>
      </c>
      <c r="U34" s="14" t="s">
        <v>146</v>
      </c>
    </row>
    <row r="35" ht="72" customHeight="1" spans="1:21" s="14" customFormat="1" x14ac:dyDescent="0.25">
      <c r="A35" s="14">
        <v>34</v>
      </c>
      <c r="B35" s="15" t="s">
        <v>136</v>
      </c>
      <c r="C35" s="16" t="s">
        <v>413</v>
      </c>
      <c r="D35" s="23" t="s">
        <v>65</v>
      </c>
      <c r="E35" s="14" t="s">
        <v>414</v>
      </c>
      <c r="F35" s="14" t="s">
        <v>415</v>
      </c>
      <c r="G35" s="14" t="s">
        <v>416</v>
      </c>
      <c r="H35" s="14" t="s">
        <v>111</v>
      </c>
      <c r="I35" s="14" t="s">
        <v>84</v>
      </c>
      <c r="J35" s="18" t="s">
        <v>90</v>
      </c>
      <c r="K35" s="14" t="s">
        <v>95</v>
      </c>
      <c r="L35" s="14" t="s">
        <v>400</v>
      </c>
      <c r="M35" s="14" t="s">
        <v>417</v>
      </c>
      <c r="N35" s="14" t="s">
        <v>418</v>
      </c>
      <c r="O35" s="19" t="s">
        <v>419</v>
      </c>
      <c r="P35" s="21" t="s">
        <v>136</v>
      </c>
      <c r="Q35" s="14" t="s">
        <v>146</v>
      </c>
      <c r="R35" s="14" t="s">
        <v>146</v>
      </c>
      <c r="S35" s="14" t="s">
        <v>420</v>
      </c>
      <c r="T35" s="14" t="s">
        <v>257</v>
      </c>
      <c r="U35" s="14" t="s">
        <v>146</v>
      </c>
    </row>
    <row r="36" ht="72" customHeight="1" spans="1:21" s="14" customFormat="1" x14ac:dyDescent="0.25">
      <c r="A36" s="14">
        <v>35</v>
      </c>
      <c r="B36" s="15" t="s">
        <v>136</v>
      </c>
      <c r="C36" s="16" t="s">
        <v>421</v>
      </c>
      <c r="D36" s="23" t="s">
        <v>65</v>
      </c>
      <c r="E36" s="14" t="s">
        <v>422</v>
      </c>
      <c r="F36" s="14" t="s">
        <v>423</v>
      </c>
      <c r="G36" s="14" t="s">
        <v>424</v>
      </c>
      <c r="H36" s="14" t="s">
        <v>111</v>
      </c>
      <c r="I36" s="14" t="s">
        <v>84</v>
      </c>
      <c r="J36" s="18" t="s">
        <v>90</v>
      </c>
      <c r="K36" s="14" t="s">
        <v>95</v>
      </c>
      <c r="L36" s="14" t="s">
        <v>425</v>
      </c>
      <c r="M36" s="14" t="s">
        <v>426</v>
      </c>
      <c r="N36" s="14" t="s">
        <v>427</v>
      </c>
      <c r="O36" s="19" t="s">
        <v>403</v>
      </c>
      <c r="P36" s="20" t="s">
        <v>145</v>
      </c>
      <c r="Q36" s="14" t="s">
        <v>146</v>
      </c>
      <c r="R36" s="14" t="s">
        <v>146</v>
      </c>
      <c r="S36" s="14" t="s">
        <v>428</v>
      </c>
      <c r="T36" s="14" t="s">
        <v>257</v>
      </c>
      <c r="U36" s="14" t="s">
        <v>146</v>
      </c>
    </row>
    <row r="37" ht="72" customHeight="1" spans="1:21" s="14" customFormat="1" x14ac:dyDescent="0.25">
      <c r="A37" s="14">
        <v>36</v>
      </c>
      <c r="B37" s="15" t="s">
        <v>136</v>
      </c>
      <c r="C37" s="16" t="s">
        <v>429</v>
      </c>
      <c r="D37" s="23" t="s">
        <v>65</v>
      </c>
      <c r="E37" s="14" t="s">
        <v>430</v>
      </c>
      <c r="F37" s="14" t="s">
        <v>431</v>
      </c>
      <c r="G37" s="14" t="s">
        <v>432</v>
      </c>
      <c r="H37" s="14" t="s">
        <v>111</v>
      </c>
      <c r="I37" s="14" t="s">
        <v>84</v>
      </c>
      <c r="J37" s="18" t="s">
        <v>90</v>
      </c>
      <c r="K37" s="14" t="s">
        <v>97</v>
      </c>
      <c r="L37" s="14" t="s">
        <v>425</v>
      </c>
      <c r="M37" s="14" t="s">
        <v>433</v>
      </c>
      <c r="N37" s="14" t="s">
        <v>434</v>
      </c>
      <c r="O37" s="19" t="s">
        <v>435</v>
      </c>
      <c r="P37" s="20" t="s">
        <v>145</v>
      </c>
      <c r="Q37" s="14" t="s">
        <v>146</v>
      </c>
      <c r="R37" s="14" t="s">
        <v>146</v>
      </c>
      <c r="S37" s="14" t="s">
        <v>436</v>
      </c>
      <c r="T37" s="14" t="s">
        <v>257</v>
      </c>
      <c r="U37" s="14" t="s">
        <v>146</v>
      </c>
    </row>
    <row r="38" ht="72" customHeight="1" spans="1:21" s="14" customFormat="1" x14ac:dyDescent="0.25">
      <c r="A38" s="14">
        <v>37</v>
      </c>
      <c r="B38" s="15" t="s">
        <v>136</v>
      </c>
      <c r="C38" s="16" t="s">
        <v>437</v>
      </c>
      <c r="D38" s="23" t="s">
        <v>65</v>
      </c>
      <c r="E38" s="14" t="s">
        <v>438</v>
      </c>
      <c r="F38" s="14" t="s">
        <v>439</v>
      </c>
      <c r="G38" s="14" t="s">
        <v>440</v>
      </c>
      <c r="H38" s="14" t="s">
        <v>26</v>
      </c>
      <c r="I38" s="24" t="s">
        <v>26</v>
      </c>
      <c r="J38" s="18" t="s">
        <v>90</v>
      </c>
      <c r="K38" s="14" t="s">
        <v>95</v>
      </c>
      <c r="L38" s="14" t="s">
        <v>252</v>
      </c>
      <c r="M38" s="14" t="s">
        <v>441</v>
      </c>
      <c r="N38" s="14" t="s">
        <v>442</v>
      </c>
      <c r="O38" s="19" t="s">
        <v>443</v>
      </c>
      <c r="P38" s="20" t="s">
        <v>145</v>
      </c>
      <c r="Q38" s="14" t="s">
        <v>444</v>
      </c>
      <c r="R38" s="14" t="s">
        <v>385</v>
      </c>
      <c r="S38" s="14" t="s">
        <v>445</v>
      </c>
      <c r="T38" s="14" t="s">
        <v>257</v>
      </c>
      <c r="U38" s="14" t="s">
        <v>146</v>
      </c>
    </row>
    <row r="39" ht="72" customHeight="1" spans="1:21" s="14" customFormat="1" x14ac:dyDescent="0.25">
      <c r="A39" s="14">
        <v>38</v>
      </c>
      <c r="B39" s="15" t="s">
        <v>136</v>
      </c>
      <c r="C39" s="16" t="s">
        <v>446</v>
      </c>
      <c r="D39" s="23" t="s">
        <v>65</v>
      </c>
      <c r="E39" s="14" t="s">
        <v>447</v>
      </c>
      <c r="F39" s="14" t="s">
        <v>448</v>
      </c>
      <c r="G39" s="14" t="s">
        <v>449</v>
      </c>
      <c r="H39" s="14" t="s">
        <v>26</v>
      </c>
      <c r="I39" s="24" t="s">
        <v>26</v>
      </c>
      <c r="J39" s="18" t="s">
        <v>90</v>
      </c>
      <c r="K39" s="14" t="s">
        <v>95</v>
      </c>
      <c r="L39" s="14" t="s">
        <v>252</v>
      </c>
      <c r="M39" s="14" t="s">
        <v>450</v>
      </c>
      <c r="N39" s="14" t="s">
        <v>451</v>
      </c>
      <c r="O39" s="19" t="s">
        <v>452</v>
      </c>
      <c r="P39" s="20" t="s">
        <v>145</v>
      </c>
      <c r="Q39" s="14" t="s">
        <v>453</v>
      </c>
      <c r="R39" s="14" t="s">
        <v>454</v>
      </c>
      <c r="S39" s="14" t="s">
        <v>455</v>
      </c>
      <c r="T39" s="14" t="s">
        <v>257</v>
      </c>
      <c r="U39" s="14" t="s">
        <v>146</v>
      </c>
    </row>
    <row r="40" ht="72" customHeight="1" spans="1:21" s="14" customFormat="1" x14ac:dyDescent="0.25">
      <c r="A40" s="14">
        <v>39</v>
      </c>
      <c r="B40" s="15" t="s">
        <v>136</v>
      </c>
      <c r="C40" s="16" t="s">
        <v>456</v>
      </c>
      <c r="D40" s="23" t="s">
        <v>65</v>
      </c>
      <c r="E40" s="14" t="s">
        <v>457</v>
      </c>
      <c r="F40" s="14" t="s">
        <v>458</v>
      </c>
      <c r="G40" s="14" t="s">
        <v>459</v>
      </c>
      <c r="H40" s="14" t="s">
        <v>26</v>
      </c>
      <c r="I40" s="24" t="s">
        <v>26</v>
      </c>
      <c r="J40" s="18" t="s">
        <v>90</v>
      </c>
      <c r="K40" s="14" t="s">
        <v>95</v>
      </c>
      <c r="L40" s="14" t="s">
        <v>252</v>
      </c>
      <c r="M40" s="14" t="s">
        <v>460</v>
      </c>
      <c r="N40" s="14" t="s">
        <v>461</v>
      </c>
      <c r="O40" s="19" t="s">
        <v>462</v>
      </c>
      <c r="P40" s="20" t="s">
        <v>145</v>
      </c>
      <c r="Q40" s="14" t="s">
        <v>463</v>
      </c>
      <c r="R40" s="14" t="s">
        <v>464</v>
      </c>
      <c r="S40" s="14" t="s">
        <v>465</v>
      </c>
      <c r="T40" s="14" t="s">
        <v>257</v>
      </c>
      <c r="U40" s="14" t="s">
        <v>146</v>
      </c>
    </row>
    <row r="41" ht="72" customHeight="1" spans="1:21" s="14" customFormat="1" x14ac:dyDescent="0.25">
      <c r="A41" s="14">
        <v>40</v>
      </c>
      <c r="B41" s="15" t="s">
        <v>136</v>
      </c>
      <c r="C41" s="16" t="s">
        <v>466</v>
      </c>
      <c r="D41" s="23" t="s">
        <v>65</v>
      </c>
      <c r="E41" s="14" t="s">
        <v>467</v>
      </c>
      <c r="F41" s="14" t="s">
        <v>468</v>
      </c>
      <c r="G41" s="14" t="s">
        <v>469</v>
      </c>
      <c r="H41" s="14" t="s">
        <v>26</v>
      </c>
      <c r="I41" s="24" t="s">
        <v>26</v>
      </c>
      <c r="J41" s="18" t="s">
        <v>90</v>
      </c>
      <c r="K41" s="14" t="s">
        <v>97</v>
      </c>
      <c r="L41" s="14" t="s">
        <v>470</v>
      </c>
      <c r="M41" s="14" t="s">
        <v>471</v>
      </c>
      <c r="N41" s="14" t="s">
        <v>472</v>
      </c>
      <c r="O41" s="19" t="s">
        <v>473</v>
      </c>
      <c r="P41" s="20" t="s">
        <v>145</v>
      </c>
      <c r="Q41" s="14" t="s">
        <v>474</v>
      </c>
      <c r="R41" s="14" t="s">
        <v>475</v>
      </c>
      <c r="S41" s="14" t="s">
        <v>476</v>
      </c>
      <c r="T41" s="14" t="s">
        <v>257</v>
      </c>
      <c r="U41" s="14" t="s">
        <v>146</v>
      </c>
    </row>
    <row r="42" ht="72" customHeight="1" spans="1:21" s="14" customFormat="1" x14ac:dyDescent="0.25">
      <c r="A42" s="14">
        <v>41</v>
      </c>
      <c r="B42" s="15" t="s">
        <v>136</v>
      </c>
      <c r="C42" s="16" t="s">
        <v>477</v>
      </c>
      <c r="D42" s="23" t="s">
        <v>65</v>
      </c>
      <c r="E42" s="14" t="s">
        <v>478</v>
      </c>
      <c r="F42" s="14" t="s">
        <v>479</v>
      </c>
      <c r="G42" s="14" t="s">
        <v>480</v>
      </c>
      <c r="H42" s="14" t="s">
        <v>26</v>
      </c>
      <c r="I42" s="24" t="s">
        <v>26</v>
      </c>
      <c r="J42" s="18" t="s">
        <v>90</v>
      </c>
      <c r="K42" s="14" t="s">
        <v>95</v>
      </c>
      <c r="L42" s="14" t="s">
        <v>481</v>
      </c>
      <c r="M42" s="14" t="s">
        <v>482</v>
      </c>
      <c r="N42" s="14" t="s">
        <v>483</v>
      </c>
      <c r="O42" s="19" t="s">
        <v>484</v>
      </c>
      <c r="P42" s="20" t="s">
        <v>145</v>
      </c>
      <c r="Q42" s="14" t="s">
        <v>485</v>
      </c>
      <c r="R42" s="14" t="s">
        <v>486</v>
      </c>
      <c r="S42" s="14" t="s">
        <v>487</v>
      </c>
      <c r="T42" s="14" t="s">
        <v>257</v>
      </c>
      <c r="U42" s="14" t="s">
        <v>146</v>
      </c>
    </row>
    <row r="43" ht="72" customHeight="1" spans="1:21" s="14" customFormat="1" x14ac:dyDescent="0.25">
      <c r="A43" s="14">
        <v>42</v>
      </c>
      <c r="B43" s="15" t="s">
        <v>136</v>
      </c>
      <c r="C43" s="16" t="s">
        <v>488</v>
      </c>
      <c r="D43" s="23" t="s">
        <v>65</v>
      </c>
      <c r="E43" s="14" t="s">
        <v>489</v>
      </c>
      <c r="F43" s="14" t="s">
        <v>490</v>
      </c>
      <c r="G43" s="14" t="s">
        <v>491</v>
      </c>
      <c r="H43" s="14" t="s">
        <v>111</v>
      </c>
      <c r="I43" s="22" t="s">
        <v>86</v>
      </c>
      <c r="J43" s="18" t="s">
        <v>90</v>
      </c>
      <c r="K43" s="14" t="s">
        <v>95</v>
      </c>
      <c r="L43" s="14" t="s">
        <v>492</v>
      </c>
      <c r="M43" s="14" t="s">
        <v>493</v>
      </c>
      <c r="N43" s="14" t="s">
        <v>494</v>
      </c>
      <c r="O43" s="19" t="s">
        <v>495</v>
      </c>
      <c r="P43" s="21" t="s">
        <v>136</v>
      </c>
      <c r="Q43" s="14" t="s">
        <v>146</v>
      </c>
      <c r="R43" s="14" t="s">
        <v>146</v>
      </c>
      <c r="S43" s="14" t="s">
        <v>496</v>
      </c>
      <c r="T43" s="14" t="s">
        <v>257</v>
      </c>
      <c r="U43" s="14" t="s">
        <v>146</v>
      </c>
    </row>
    <row r="44" ht="72" customHeight="1" spans="1:21" s="14" customFormat="1" x14ac:dyDescent="0.25">
      <c r="A44" s="14">
        <v>43</v>
      </c>
      <c r="B44" s="15" t="s">
        <v>136</v>
      </c>
      <c r="C44" s="16" t="s">
        <v>497</v>
      </c>
      <c r="D44" s="25" t="s">
        <v>75</v>
      </c>
      <c r="E44" s="14" t="s">
        <v>498</v>
      </c>
      <c r="F44" s="14" t="s">
        <v>499</v>
      </c>
      <c r="G44" s="14" t="s">
        <v>500</v>
      </c>
      <c r="H44" s="14" t="s">
        <v>113</v>
      </c>
      <c r="I44" s="14" t="s">
        <v>84</v>
      </c>
      <c r="J44" s="18" t="s">
        <v>90</v>
      </c>
      <c r="K44" s="14" t="s">
        <v>97</v>
      </c>
      <c r="L44" s="14" t="s">
        <v>252</v>
      </c>
      <c r="M44" s="14" t="s">
        <v>501</v>
      </c>
      <c r="N44" s="14" t="s">
        <v>502</v>
      </c>
      <c r="O44" s="19" t="s">
        <v>255</v>
      </c>
      <c r="P44" s="20" t="s">
        <v>145</v>
      </c>
      <c r="Q44" s="14" t="s">
        <v>146</v>
      </c>
      <c r="R44" s="14" t="s">
        <v>146</v>
      </c>
      <c r="S44" s="14" t="s">
        <v>503</v>
      </c>
      <c r="T44" s="14" t="s">
        <v>504</v>
      </c>
      <c r="U44" s="14" t="s">
        <v>146</v>
      </c>
    </row>
    <row r="45" ht="72" customHeight="1" spans="1:21" s="14" customFormat="1" x14ac:dyDescent="0.25">
      <c r="A45" s="14">
        <v>44</v>
      </c>
      <c r="B45" s="15" t="s">
        <v>136</v>
      </c>
      <c r="C45" s="16" t="s">
        <v>505</v>
      </c>
      <c r="D45" s="25" t="s">
        <v>75</v>
      </c>
      <c r="E45" s="14" t="s">
        <v>506</v>
      </c>
      <c r="F45" s="14" t="s">
        <v>507</v>
      </c>
      <c r="G45" s="14" t="s">
        <v>508</v>
      </c>
      <c r="H45" s="14" t="s">
        <v>113</v>
      </c>
      <c r="I45" s="14" t="s">
        <v>84</v>
      </c>
      <c r="J45" s="18" t="s">
        <v>90</v>
      </c>
      <c r="K45" s="14" t="s">
        <v>97</v>
      </c>
      <c r="L45" s="14" t="s">
        <v>509</v>
      </c>
      <c r="M45" s="14" t="s">
        <v>510</v>
      </c>
      <c r="N45" s="14" t="s">
        <v>511</v>
      </c>
      <c r="O45" s="19" t="s">
        <v>512</v>
      </c>
      <c r="P45" s="20" t="s">
        <v>145</v>
      </c>
      <c r="Q45" s="14" t="s">
        <v>146</v>
      </c>
      <c r="R45" s="14" t="s">
        <v>146</v>
      </c>
      <c r="S45" s="14" t="s">
        <v>513</v>
      </c>
      <c r="T45" s="14" t="s">
        <v>504</v>
      </c>
      <c r="U45" s="14" t="s">
        <v>146</v>
      </c>
    </row>
    <row r="46" ht="72" customHeight="1" spans="1:21" s="14" customFormat="1" x14ac:dyDescent="0.25">
      <c r="A46" s="14">
        <v>45</v>
      </c>
      <c r="B46" s="15" t="s">
        <v>136</v>
      </c>
      <c r="C46" s="16" t="s">
        <v>514</v>
      </c>
      <c r="D46" s="25" t="s">
        <v>75</v>
      </c>
      <c r="E46" s="14" t="s">
        <v>515</v>
      </c>
      <c r="F46" s="14" t="s">
        <v>516</v>
      </c>
      <c r="G46" s="14" t="s">
        <v>517</v>
      </c>
      <c r="H46" s="14" t="s">
        <v>113</v>
      </c>
      <c r="I46" s="22" t="s">
        <v>80</v>
      </c>
      <c r="J46" s="18" t="s">
        <v>90</v>
      </c>
      <c r="K46" s="14" t="s">
        <v>97</v>
      </c>
      <c r="L46" s="14" t="s">
        <v>252</v>
      </c>
      <c r="M46" s="14" t="s">
        <v>518</v>
      </c>
      <c r="N46" s="14" t="s">
        <v>519</v>
      </c>
      <c r="O46" s="19" t="s">
        <v>520</v>
      </c>
      <c r="P46" s="20" t="s">
        <v>145</v>
      </c>
      <c r="Q46" s="14" t="s">
        <v>146</v>
      </c>
      <c r="R46" s="14" t="s">
        <v>146</v>
      </c>
      <c r="S46" s="14" t="s">
        <v>521</v>
      </c>
      <c r="T46" s="14" t="s">
        <v>504</v>
      </c>
      <c r="U46" s="14" t="s">
        <v>146</v>
      </c>
    </row>
    <row r="47" ht="72" customHeight="1" spans="1:21" s="14" customFormat="1" x14ac:dyDescent="0.25">
      <c r="A47" s="14">
        <v>46</v>
      </c>
      <c r="B47" s="15" t="s">
        <v>136</v>
      </c>
      <c r="C47" s="16" t="s">
        <v>522</v>
      </c>
      <c r="D47" s="25" t="s">
        <v>75</v>
      </c>
      <c r="E47" s="14" t="s">
        <v>515</v>
      </c>
      <c r="F47" s="14" t="s">
        <v>523</v>
      </c>
      <c r="G47" s="14" t="s">
        <v>524</v>
      </c>
      <c r="H47" s="14" t="s">
        <v>113</v>
      </c>
      <c r="I47" s="22" t="s">
        <v>86</v>
      </c>
      <c r="J47" s="26" t="s">
        <v>92</v>
      </c>
      <c r="K47" s="14" t="s">
        <v>99</v>
      </c>
      <c r="L47" s="14" t="s">
        <v>252</v>
      </c>
      <c r="M47" s="14" t="s">
        <v>525</v>
      </c>
      <c r="N47" s="14" t="s">
        <v>526</v>
      </c>
      <c r="O47" s="19" t="s">
        <v>527</v>
      </c>
      <c r="P47" s="20" t="s">
        <v>145</v>
      </c>
      <c r="Q47" s="14" t="s">
        <v>146</v>
      </c>
      <c r="R47" s="14" t="s">
        <v>146</v>
      </c>
      <c r="S47" s="14" t="s">
        <v>528</v>
      </c>
      <c r="T47" s="14" t="s">
        <v>504</v>
      </c>
      <c r="U47" s="14" t="s">
        <v>146</v>
      </c>
    </row>
    <row r="48" ht="72" customHeight="1" spans="1:21" s="14" customFormat="1" x14ac:dyDescent="0.25">
      <c r="A48" s="14">
        <v>47</v>
      </c>
      <c r="B48" s="15" t="s">
        <v>136</v>
      </c>
      <c r="C48" s="16" t="s">
        <v>529</v>
      </c>
      <c r="D48" s="25" t="s">
        <v>75</v>
      </c>
      <c r="E48" s="14" t="s">
        <v>530</v>
      </c>
      <c r="F48" s="14" t="s">
        <v>531</v>
      </c>
      <c r="G48" s="14" t="s">
        <v>532</v>
      </c>
      <c r="H48" s="14" t="s">
        <v>26</v>
      </c>
      <c r="I48" s="24" t="s">
        <v>82</v>
      </c>
      <c r="J48" s="18" t="s">
        <v>90</v>
      </c>
      <c r="K48" s="14" t="s">
        <v>97</v>
      </c>
      <c r="L48" s="14" t="s">
        <v>252</v>
      </c>
      <c r="M48" s="14" t="s">
        <v>533</v>
      </c>
      <c r="N48" s="14" t="s">
        <v>534</v>
      </c>
      <c r="O48" s="19" t="s">
        <v>535</v>
      </c>
      <c r="P48" s="20" t="s">
        <v>145</v>
      </c>
      <c r="Q48" s="14" t="s">
        <v>536</v>
      </c>
      <c r="R48" s="14" t="s">
        <v>537</v>
      </c>
      <c r="S48" s="14" t="s">
        <v>538</v>
      </c>
      <c r="T48" s="14" t="s">
        <v>504</v>
      </c>
      <c r="U48" s="14" t="s">
        <v>146</v>
      </c>
    </row>
    <row r="49" ht="72" customHeight="1" spans="1:21" s="14" customFormat="1" x14ac:dyDescent="0.25">
      <c r="A49" s="14">
        <v>48</v>
      </c>
      <c r="B49" s="15" t="s">
        <v>136</v>
      </c>
      <c r="C49" s="16" t="s">
        <v>539</v>
      </c>
      <c r="D49" s="25" t="s">
        <v>75</v>
      </c>
      <c r="E49" s="14" t="s">
        <v>530</v>
      </c>
      <c r="F49" s="14" t="s">
        <v>540</v>
      </c>
      <c r="G49" s="14" t="s">
        <v>541</v>
      </c>
      <c r="H49" s="14" t="s">
        <v>26</v>
      </c>
      <c r="I49" s="24" t="s">
        <v>82</v>
      </c>
      <c r="J49" s="18" t="s">
        <v>90</v>
      </c>
      <c r="K49" s="14" t="s">
        <v>97</v>
      </c>
      <c r="L49" s="14" t="s">
        <v>252</v>
      </c>
      <c r="M49" s="14" t="s">
        <v>542</v>
      </c>
      <c r="N49" s="14" t="s">
        <v>543</v>
      </c>
      <c r="O49" s="19" t="s">
        <v>544</v>
      </c>
      <c r="P49" s="20" t="s">
        <v>145</v>
      </c>
      <c r="Q49" s="14" t="s">
        <v>545</v>
      </c>
      <c r="R49" s="14" t="s">
        <v>385</v>
      </c>
      <c r="S49" s="14" t="s">
        <v>546</v>
      </c>
      <c r="T49" s="14" t="s">
        <v>504</v>
      </c>
      <c r="U49" s="14" t="s">
        <v>146</v>
      </c>
    </row>
    <row r="50" ht="72" customHeight="1" spans="1:21" s="14" customFormat="1" x14ac:dyDescent="0.25">
      <c r="A50" s="14">
        <v>49</v>
      </c>
      <c r="B50" s="15" t="s">
        <v>136</v>
      </c>
      <c r="C50" s="16" t="s">
        <v>547</v>
      </c>
      <c r="D50" s="25" t="s">
        <v>75</v>
      </c>
      <c r="E50" s="14" t="s">
        <v>530</v>
      </c>
      <c r="F50" s="14" t="s">
        <v>548</v>
      </c>
      <c r="G50" s="14" t="s">
        <v>549</v>
      </c>
      <c r="H50" s="14" t="s">
        <v>26</v>
      </c>
      <c r="I50" s="24" t="s">
        <v>82</v>
      </c>
      <c r="J50" s="18" t="s">
        <v>90</v>
      </c>
      <c r="K50" s="14" t="s">
        <v>97</v>
      </c>
      <c r="L50" s="14" t="s">
        <v>252</v>
      </c>
      <c r="M50" s="14" t="s">
        <v>550</v>
      </c>
      <c r="N50" s="14" t="s">
        <v>551</v>
      </c>
      <c r="O50" s="19" t="s">
        <v>552</v>
      </c>
      <c r="P50" s="20" t="s">
        <v>145</v>
      </c>
      <c r="Q50" s="14" t="s">
        <v>545</v>
      </c>
      <c r="R50" s="14" t="s">
        <v>385</v>
      </c>
      <c r="S50" s="14" t="s">
        <v>553</v>
      </c>
      <c r="T50" s="14" t="s">
        <v>504</v>
      </c>
      <c r="U50" s="14" t="s">
        <v>146</v>
      </c>
    </row>
    <row r="51" ht="72" customHeight="1" spans="1:21" s="14" customFormat="1" x14ac:dyDescent="0.25">
      <c r="A51" s="14">
        <v>50</v>
      </c>
      <c r="B51" s="15" t="s">
        <v>136</v>
      </c>
      <c r="C51" s="16" t="s">
        <v>554</v>
      </c>
      <c r="D51" s="25" t="s">
        <v>75</v>
      </c>
      <c r="E51" s="14" t="s">
        <v>530</v>
      </c>
      <c r="F51" s="14" t="s">
        <v>555</v>
      </c>
      <c r="G51" s="14" t="s">
        <v>556</v>
      </c>
      <c r="H51" s="14" t="s">
        <v>26</v>
      </c>
      <c r="I51" s="24" t="s">
        <v>82</v>
      </c>
      <c r="J51" s="18" t="s">
        <v>90</v>
      </c>
      <c r="K51" s="14" t="s">
        <v>97</v>
      </c>
      <c r="L51" s="14" t="s">
        <v>252</v>
      </c>
      <c r="M51" s="14" t="s">
        <v>557</v>
      </c>
      <c r="N51" s="14" t="s">
        <v>558</v>
      </c>
      <c r="O51" s="19" t="s">
        <v>559</v>
      </c>
      <c r="P51" s="20" t="s">
        <v>145</v>
      </c>
      <c r="Q51" s="14" t="s">
        <v>545</v>
      </c>
      <c r="R51" s="14" t="s">
        <v>385</v>
      </c>
      <c r="S51" s="14" t="s">
        <v>560</v>
      </c>
      <c r="T51" s="14" t="s">
        <v>504</v>
      </c>
      <c r="U51" s="14" t="s">
        <v>146</v>
      </c>
    </row>
    <row r="52" ht="72" customHeight="1" spans="1:21" s="14" customFormat="1" x14ac:dyDescent="0.25">
      <c r="A52" s="14">
        <v>51</v>
      </c>
      <c r="B52" s="15" t="s">
        <v>136</v>
      </c>
      <c r="C52" s="16" t="s">
        <v>561</v>
      </c>
      <c r="D52" s="25" t="s">
        <v>75</v>
      </c>
      <c r="E52" s="14" t="s">
        <v>562</v>
      </c>
      <c r="F52" s="14" t="s">
        <v>563</v>
      </c>
      <c r="G52" s="14" t="s">
        <v>564</v>
      </c>
      <c r="H52" s="14" t="s">
        <v>113</v>
      </c>
      <c r="I52" s="14" t="s">
        <v>84</v>
      </c>
      <c r="J52" s="26" t="s">
        <v>92</v>
      </c>
      <c r="K52" s="14" t="s">
        <v>99</v>
      </c>
      <c r="L52" s="14" t="s">
        <v>252</v>
      </c>
      <c r="M52" s="14" t="s">
        <v>565</v>
      </c>
      <c r="N52" s="14" t="s">
        <v>566</v>
      </c>
      <c r="O52" s="19" t="s">
        <v>567</v>
      </c>
      <c r="P52" s="20" t="s">
        <v>145</v>
      </c>
      <c r="Q52" s="14" t="s">
        <v>146</v>
      </c>
      <c r="R52" s="14" t="s">
        <v>146</v>
      </c>
      <c r="S52" s="14" t="s">
        <v>568</v>
      </c>
      <c r="T52" s="14" t="s">
        <v>504</v>
      </c>
      <c r="U52" s="14" t="s">
        <v>146</v>
      </c>
    </row>
    <row r="53" ht="72" customHeight="1" spans="1:21" s="14" customFormat="1" x14ac:dyDescent="0.25">
      <c r="A53" s="14">
        <v>52</v>
      </c>
      <c r="B53" s="15" t="s">
        <v>136</v>
      </c>
      <c r="C53" s="16" t="s">
        <v>569</v>
      </c>
      <c r="D53" s="25" t="s">
        <v>75</v>
      </c>
      <c r="E53" s="14" t="s">
        <v>570</v>
      </c>
      <c r="F53" s="14" t="s">
        <v>571</v>
      </c>
      <c r="G53" s="14" t="s">
        <v>572</v>
      </c>
      <c r="H53" s="14" t="s">
        <v>113</v>
      </c>
      <c r="I53" s="22" t="s">
        <v>86</v>
      </c>
      <c r="J53" s="18" t="s">
        <v>90</v>
      </c>
      <c r="K53" s="14" t="s">
        <v>97</v>
      </c>
      <c r="L53" s="14" t="s">
        <v>252</v>
      </c>
      <c r="M53" s="14" t="s">
        <v>573</v>
      </c>
      <c r="N53" s="14" t="s">
        <v>574</v>
      </c>
      <c r="O53" s="19" t="s">
        <v>575</v>
      </c>
      <c r="P53" s="20" t="s">
        <v>145</v>
      </c>
      <c r="Q53" s="14" t="s">
        <v>146</v>
      </c>
      <c r="R53" s="14" t="s">
        <v>146</v>
      </c>
      <c r="S53" s="14" t="s">
        <v>576</v>
      </c>
      <c r="T53" s="14" t="s">
        <v>504</v>
      </c>
      <c r="U53" s="14" t="s">
        <v>146</v>
      </c>
    </row>
    <row r="54" ht="72" customHeight="1" spans="1:21" s="14" customFormat="1" x14ac:dyDescent="0.25">
      <c r="A54" s="14">
        <v>53</v>
      </c>
      <c r="B54" s="15" t="s">
        <v>136</v>
      </c>
      <c r="C54" s="16" t="s">
        <v>577</v>
      </c>
      <c r="D54" s="25" t="s">
        <v>75</v>
      </c>
      <c r="E54" s="14" t="s">
        <v>578</v>
      </c>
      <c r="F54" s="14" t="s">
        <v>579</v>
      </c>
      <c r="G54" s="14" t="s">
        <v>580</v>
      </c>
      <c r="H54" s="14" t="s">
        <v>111</v>
      </c>
      <c r="I54" s="14" t="s">
        <v>84</v>
      </c>
      <c r="J54" s="18" t="s">
        <v>90</v>
      </c>
      <c r="K54" s="14" t="s">
        <v>95</v>
      </c>
      <c r="L54" s="14" t="s">
        <v>581</v>
      </c>
      <c r="M54" s="14" t="s">
        <v>582</v>
      </c>
      <c r="N54" s="14" t="s">
        <v>583</v>
      </c>
      <c r="O54" s="19" t="s">
        <v>584</v>
      </c>
      <c r="P54" s="21" t="s">
        <v>136</v>
      </c>
      <c r="Q54" s="14" t="s">
        <v>146</v>
      </c>
      <c r="R54" s="14" t="s">
        <v>146</v>
      </c>
      <c r="S54" s="14" t="s">
        <v>585</v>
      </c>
      <c r="T54" s="14" t="s">
        <v>504</v>
      </c>
      <c r="U54" s="14" t="s">
        <v>146</v>
      </c>
    </row>
    <row r="55" ht="72" customHeight="1" spans="1:21" s="14" customFormat="1" x14ac:dyDescent="0.25">
      <c r="A55" s="14">
        <v>54</v>
      </c>
      <c r="B55" s="15" t="s">
        <v>136</v>
      </c>
      <c r="C55" s="16" t="s">
        <v>586</v>
      </c>
      <c r="D55" s="25" t="s">
        <v>75</v>
      </c>
      <c r="E55" s="14" t="s">
        <v>587</v>
      </c>
      <c r="F55" s="14" t="s">
        <v>588</v>
      </c>
      <c r="G55" s="14" t="s">
        <v>589</v>
      </c>
      <c r="H55" s="14" t="s">
        <v>111</v>
      </c>
      <c r="I55" s="14" t="s">
        <v>84</v>
      </c>
      <c r="J55" s="18" t="s">
        <v>90</v>
      </c>
      <c r="K55" s="14" t="s">
        <v>95</v>
      </c>
      <c r="L55" s="14" t="s">
        <v>590</v>
      </c>
      <c r="M55" s="14" t="s">
        <v>591</v>
      </c>
      <c r="N55" s="14" t="s">
        <v>592</v>
      </c>
      <c r="O55" s="19" t="s">
        <v>593</v>
      </c>
      <c r="P55" s="20" t="s">
        <v>145</v>
      </c>
      <c r="Q55" s="14" t="s">
        <v>146</v>
      </c>
      <c r="R55" s="14" t="s">
        <v>146</v>
      </c>
      <c r="S55" s="14" t="s">
        <v>594</v>
      </c>
      <c r="T55" s="14" t="s">
        <v>504</v>
      </c>
      <c r="U55" s="14" t="s">
        <v>146</v>
      </c>
    </row>
    <row r="56" ht="72" customHeight="1" spans="1:21" s="14" customFormat="1" x14ac:dyDescent="0.25">
      <c r="A56" s="14">
        <v>55</v>
      </c>
      <c r="B56" s="15" t="s">
        <v>136</v>
      </c>
      <c r="C56" s="16" t="s">
        <v>595</v>
      </c>
      <c r="D56" s="25" t="s">
        <v>75</v>
      </c>
      <c r="E56" s="14" t="s">
        <v>596</v>
      </c>
      <c r="F56" s="14" t="s">
        <v>597</v>
      </c>
      <c r="G56" s="14" t="s">
        <v>598</v>
      </c>
      <c r="H56" s="14" t="s">
        <v>113</v>
      </c>
      <c r="I56" s="22" t="s">
        <v>80</v>
      </c>
      <c r="J56" s="18" t="s">
        <v>90</v>
      </c>
      <c r="K56" s="14" t="s">
        <v>97</v>
      </c>
      <c r="L56" s="14" t="s">
        <v>590</v>
      </c>
      <c r="M56" s="14" t="s">
        <v>599</v>
      </c>
      <c r="N56" s="14" t="s">
        <v>600</v>
      </c>
      <c r="O56" s="19" t="s">
        <v>601</v>
      </c>
      <c r="P56" s="20" t="s">
        <v>145</v>
      </c>
      <c r="Q56" s="14" t="s">
        <v>146</v>
      </c>
      <c r="R56" s="14" t="s">
        <v>146</v>
      </c>
      <c r="S56" s="14" t="s">
        <v>602</v>
      </c>
      <c r="T56" s="14" t="s">
        <v>504</v>
      </c>
      <c r="U56" s="14" t="s">
        <v>146</v>
      </c>
    </row>
    <row r="57" ht="72" customHeight="1" spans="1:21" s="14" customFormat="1" x14ac:dyDescent="0.25">
      <c r="A57" s="14">
        <v>56</v>
      </c>
      <c r="B57" s="15" t="s">
        <v>136</v>
      </c>
      <c r="C57" s="16" t="s">
        <v>603</v>
      </c>
      <c r="D57" s="25" t="s">
        <v>75</v>
      </c>
      <c r="E57" s="14" t="s">
        <v>604</v>
      </c>
      <c r="F57" s="14" t="s">
        <v>605</v>
      </c>
      <c r="G57" s="14" t="s">
        <v>606</v>
      </c>
      <c r="H57" s="14" t="s">
        <v>111</v>
      </c>
      <c r="I57" s="14" t="s">
        <v>84</v>
      </c>
      <c r="J57" s="18" t="s">
        <v>90</v>
      </c>
      <c r="K57" s="14" t="s">
        <v>95</v>
      </c>
      <c r="L57" s="14" t="s">
        <v>607</v>
      </c>
      <c r="M57" s="14" t="s">
        <v>608</v>
      </c>
      <c r="N57" s="14" t="s">
        <v>609</v>
      </c>
      <c r="O57" s="19" t="s">
        <v>610</v>
      </c>
      <c r="P57" s="21" t="s">
        <v>136</v>
      </c>
      <c r="Q57" s="14" t="s">
        <v>146</v>
      </c>
      <c r="R57" s="14" t="s">
        <v>146</v>
      </c>
      <c r="S57" s="14" t="s">
        <v>611</v>
      </c>
      <c r="T57" s="14" t="s">
        <v>504</v>
      </c>
      <c r="U57" s="14" t="s">
        <v>146</v>
      </c>
    </row>
    <row r="58" ht="72" customHeight="1" spans="1:21" s="14" customFormat="1" x14ac:dyDescent="0.25">
      <c r="A58" s="14">
        <v>57</v>
      </c>
      <c r="B58" s="15" t="s">
        <v>136</v>
      </c>
      <c r="C58" s="16" t="s">
        <v>612</v>
      </c>
      <c r="D58" s="25" t="s">
        <v>75</v>
      </c>
      <c r="E58" s="14" t="s">
        <v>613</v>
      </c>
      <c r="F58" s="14" t="s">
        <v>614</v>
      </c>
      <c r="G58" s="14" t="s">
        <v>615</v>
      </c>
      <c r="H58" s="14" t="s">
        <v>111</v>
      </c>
      <c r="I58" s="14" t="s">
        <v>84</v>
      </c>
      <c r="J58" s="18" t="s">
        <v>90</v>
      </c>
      <c r="K58" s="14" t="s">
        <v>95</v>
      </c>
      <c r="L58" s="14" t="s">
        <v>616</v>
      </c>
      <c r="M58" s="14" t="s">
        <v>617</v>
      </c>
      <c r="N58" s="14" t="s">
        <v>618</v>
      </c>
      <c r="O58" s="19" t="s">
        <v>619</v>
      </c>
      <c r="P58" s="20" t="s">
        <v>145</v>
      </c>
      <c r="Q58" s="14" t="s">
        <v>146</v>
      </c>
      <c r="R58" s="14" t="s">
        <v>146</v>
      </c>
      <c r="S58" s="14" t="s">
        <v>620</v>
      </c>
      <c r="T58" s="14" t="s">
        <v>504</v>
      </c>
      <c r="U58" s="14" t="s">
        <v>146</v>
      </c>
    </row>
    <row r="59" ht="72" customHeight="1" spans="1:21" s="14" customFormat="1" x14ac:dyDescent="0.25">
      <c r="A59" s="14">
        <v>58</v>
      </c>
      <c r="B59" s="15" t="s">
        <v>136</v>
      </c>
      <c r="C59" s="16" t="s">
        <v>621</v>
      </c>
      <c r="D59" s="25" t="s">
        <v>75</v>
      </c>
      <c r="E59" s="14" t="s">
        <v>622</v>
      </c>
      <c r="F59" s="14" t="s">
        <v>623</v>
      </c>
      <c r="G59" s="14" t="s">
        <v>624</v>
      </c>
      <c r="H59" s="14" t="s">
        <v>113</v>
      </c>
      <c r="I59" s="14" t="s">
        <v>84</v>
      </c>
      <c r="J59" s="18" t="s">
        <v>90</v>
      </c>
      <c r="K59" s="14" t="s">
        <v>97</v>
      </c>
      <c r="L59" s="14" t="s">
        <v>252</v>
      </c>
      <c r="M59" s="14" t="s">
        <v>625</v>
      </c>
      <c r="N59" s="14" t="s">
        <v>626</v>
      </c>
      <c r="O59" s="19" t="s">
        <v>627</v>
      </c>
      <c r="P59" s="20" t="s">
        <v>145</v>
      </c>
      <c r="Q59" s="14" t="s">
        <v>146</v>
      </c>
      <c r="R59" s="14" t="s">
        <v>146</v>
      </c>
      <c r="S59" s="14" t="s">
        <v>628</v>
      </c>
      <c r="T59" s="14" t="s">
        <v>504</v>
      </c>
      <c r="U59" s="14" t="s">
        <v>146</v>
      </c>
    </row>
    <row r="60" ht="72" customHeight="1" spans="1:21" s="14" customFormat="1" x14ac:dyDescent="0.25">
      <c r="A60" s="14">
        <v>59</v>
      </c>
      <c r="B60" s="15" t="s">
        <v>136</v>
      </c>
      <c r="C60" s="16" t="s">
        <v>629</v>
      </c>
      <c r="D60" s="25" t="s">
        <v>75</v>
      </c>
      <c r="E60" s="14" t="s">
        <v>622</v>
      </c>
      <c r="F60" s="14" t="s">
        <v>630</v>
      </c>
      <c r="G60" s="14" t="s">
        <v>631</v>
      </c>
      <c r="H60" s="14" t="s">
        <v>113</v>
      </c>
      <c r="I60" s="14" t="s">
        <v>84</v>
      </c>
      <c r="J60" s="18" t="s">
        <v>90</v>
      </c>
      <c r="K60" s="14" t="s">
        <v>97</v>
      </c>
      <c r="L60" s="14" t="s">
        <v>252</v>
      </c>
      <c r="M60" s="14" t="s">
        <v>632</v>
      </c>
      <c r="N60" s="14" t="s">
        <v>633</v>
      </c>
      <c r="O60" s="19" t="s">
        <v>634</v>
      </c>
      <c r="P60" s="20" t="s">
        <v>145</v>
      </c>
      <c r="Q60" s="14" t="s">
        <v>146</v>
      </c>
      <c r="R60" s="14" t="s">
        <v>146</v>
      </c>
      <c r="S60" s="14" t="s">
        <v>635</v>
      </c>
      <c r="T60" s="14" t="s">
        <v>504</v>
      </c>
      <c r="U60" s="14" t="s">
        <v>146</v>
      </c>
    </row>
    <row r="61" ht="72" customHeight="1" spans="1:21" s="14" customFormat="1" x14ac:dyDescent="0.25">
      <c r="A61" s="14">
        <v>60</v>
      </c>
      <c r="B61" s="15" t="s">
        <v>136</v>
      </c>
      <c r="C61" s="16" t="s">
        <v>636</v>
      </c>
      <c r="D61" s="25" t="s">
        <v>75</v>
      </c>
      <c r="E61" s="14" t="s">
        <v>637</v>
      </c>
      <c r="F61" s="14" t="s">
        <v>638</v>
      </c>
      <c r="G61" s="14" t="s">
        <v>639</v>
      </c>
      <c r="H61" s="14" t="s">
        <v>113</v>
      </c>
      <c r="I61" s="14" t="s">
        <v>84</v>
      </c>
      <c r="J61" s="18" t="s">
        <v>90</v>
      </c>
      <c r="K61" s="14" t="s">
        <v>97</v>
      </c>
      <c r="L61" s="14" t="s">
        <v>252</v>
      </c>
      <c r="M61" s="14" t="s">
        <v>640</v>
      </c>
      <c r="N61" s="14" t="s">
        <v>641</v>
      </c>
      <c r="O61" s="19" t="s">
        <v>255</v>
      </c>
      <c r="P61" s="20" t="s">
        <v>145</v>
      </c>
      <c r="Q61" s="14" t="s">
        <v>146</v>
      </c>
      <c r="R61" s="14" t="s">
        <v>146</v>
      </c>
      <c r="S61" s="14" t="s">
        <v>642</v>
      </c>
      <c r="T61" s="14" t="s">
        <v>504</v>
      </c>
      <c r="U61" s="14" t="s">
        <v>146</v>
      </c>
    </row>
    <row r="62" ht="72" customHeight="1" spans="1:21" s="14" customFormat="1" x14ac:dyDescent="0.25">
      <c r="A62" s="14">
        <v>61</v>
      </c>
      <c r="B62" s="15" t="s">
        <v>136</v>
      </c>
      <c r="C62" s="16" t="s">
        <v>643</v>
      </c>
      <c r="D62" s="25" t="s">
        <v>75</v>
      </c>
      <c r="E62" s="14" t="s">
        <v>644</v>
      </c>
      <c r="F62" s="14" t="s">
        <v>645</v>
      </c>
      <c r="G62" s="14" t="s">
        <v>646</v>
      </c>
      <c r="H62" s="14" t="s">
        <v>26</v>
      </c>
      <c r="I62" s="24" t="s">
        <v>82</v>
      </c>
      <c r="J62" s="18" t="s">
        <v>90</v>
      </c>
      <c r="K62" s="14" t="s">
        <v>95</v>
      </c>
      <c r="L62" s="14" t="s">
        <v>252</v>
      </c>
      <c r="M62" s="14" t="s">
        <v>647</v>
      </c>
      <c r="N62" s="14" t="s">
        <v>648</v>
      </c>
      <c r="O62" s="19" t="s">
        <v>649</v>
      </c>
      <c r="P62" s="20" t="s">
        <v>145</v>
      </c>
      <c r="Q62" s="14" t="s">
        <v>650</v>
      </c>
      <c r="R62" s="14" t="s">
        <v>537</v>
      </c>
      <c r="S62" s="14" t="s">
        <v>651</v>
      </c>
      <c r="T62" s="14" t="s">
        <v>504</v>
      </c>
      <c r="U62" s="14" t="s">
        <v>146</v>
      </c>
    </row>
    <row r="63" ht="72" customHeight="1" spans="1:21" s="14" customFormat="1" x14ac:dyDescent="0.25">
      <c r="A63" s="14">
        <v>62</v>
      </c>
      <c r="B63" s="15" t="s">
        <v>136</v>
      </c>
      <c r="C63" s="16" t="s">
        <v>652</v>
      </c>
      <c r="D63" s="25" t="s">
        <v>75</v>
      </c>
      <c r="E63" s="14" t="s">
        <v>644</v>
      </c>
      <c r="F63" s="14" t="s">
        <v>653</v>
      </c>
      <c r="G63" s="14" t="s">
        <v>654</v>
      </c>
      <c r="H63" s="14" t="s">
        <v>26</v>
      </c>
      <c r="I63" s="24" t="s">
        <v>82</v>
      </c>
      <c r="J63" s="18" t="s">
        <v>90</v>
      </c>
      <c r="K63" s="14" t="s">
        <v>95</v>
      </c>
      <c r="L63" s="14" t="s">
        <v>252</v>
      </c>
      <c r="M63" s="14" t="s">
        <v>655</v>
      </c>
      <c r="N63" s="14" t="s">
        <v>656</v>
      </c>
      <c r="O63" s="19" t="s">
        <v>657</v>
      </c>
      <c r="P63" s="20" t="s">
        <v>145</v>
      </c>
      <c r="Q63" s="14" t="s">
        <v>658</v>
      </c>
      <c r="R63" s="14" t="s">
        <v>537</v>
      </c>
      <c r="S63" s="14" t="s">
        <v>651</v>
      </c>
      <c r="T63" s="14" t="s">
        <v>504</v>
      </c>
      <c r="U63" s="14" t="s">
        <v>146</v>
      </c>
    </row>
    <row r="64" ht="72" customHeight="1" spans="1:21" s="14" customFormat="1" x14ac:dyDescent="0.25">
      <c r="A64" s="14">
        <v>63</v>
      </c>
      <c r="B64" s="15" t="s">
        <v>136</v>
      </c>
      <c r="C64" s="16" t="s">
        <v>659</v>
      </c>
      <c r="D64" s="25" t="s">
        <v>75</v>
      </c>
      <c r="E64" s="14" t="s">
        <v>660</v>
      </c>
      <c r="F64" s="14" t="s">
        <v>661</v>
      </c>
      <c r="G64" s="14" t="s">
        <v>662</v>
      </c>
      <c r="H64" s="14" t="s">
        <v>26</v>
      </c>
      <c r="I64" s="24" t="s">
        <v>82</v>
      </c>
      <c r="J64" s="18" t="s">
        <v>90</v>
      </c>
      <c r="K64" s="14" t="s">
        <v>97</v>
      </c>
      <c r="L64" s="14" t="s">
        <v>252</v>
      </c>
      <c r="M64" s="14" t="s">
        <v>663</v>
      </c>
      <c r="N64" s="14" t="s">
        <v>664</v>
      </c>
      <c r="O64" s="19" t="s">
        <v>665</v>
      </c>
      <c r="P64" s="20" t="s">
        <v>145</v>
      </c>
      <c r="Q64" s="14" t="s">
        <v>666</v>
      </c>
      <c r="R64" s="14" t="s">
        <v>385</v>
      </c>
      <c r="S64" s="14" t="s">
        <v>667</v>
      </c>
      <c r="T64" s="14" t="s">
        <v>504</v>
      </c>
      <c r="U64" s="14" t="s">
        <v>146</v>
      </c>
    </row>
    <row r="65" ht="72" customHeight="1" spans="1:21" s="14" customFormat="1" x14ac:dyDescent="0.25">
      <c r="A65" s="14">
        <v>64</v>
      </c>
      <c r="B65" s="15" t="s">
        <v>136</v>
      </c>
      <c r="C65" s="16" t="s">
        <v>668</v>
      </c>
      <c r="D65" s="25" t="s">
        <v>75</v>
      </c>
      <c r="E65" s="14" t="s">
        <v>669</v>
      </c>
      <c r="F65" s="14" t="s">
        <v>670</v>
      </c>
      <c r="G65" s="14" t="s">
        <v>671</v>
      </c>
      <c r="H65" s="14" t="s">
        <v>26</v>
      </c>
      <c r="I65" s="24" t="s">
        <v>82</v>
      </c>
      <c r="J65" s="18" t="s">
        <v>90</v>
      </c>
      <c r="K65" s="14" t="s">
        <v>97</v>
      </c>
      <c r="L65" s="14" t="s">
        <v>252</v>
      </c>
      <c r="M65" s="14" t="s">
        <v>672</v>
      </c>
      <c r="N65" s="14" t="s">
        <v>673</v>
      </c>
      <c r="O65" s="19" t="s">
        <v>674</v>
      </c>
      <c r="P65" s="20" t="s">
        <v>145</v>
      </c>
      <c r="Q65" s="14" t="s">
        <v>675</v>
      </c>
      <c r="R65" s="14" t="s">
        <v>385</v>
      </c>
      <c r="S65" s="14" t="s">
        <v>676</v>
      </c>
      <c r="T65" s="14" t="s">
        <v>504</v>
      </c>
      <c r="U65" s="14" t="s">
        <v>146</v>
      </c>
    </row>
    <row r="66" ht="72" customHeight="1" spans="1:21" s="14" customFormat="1" x14ac:dyDescent="0.25">
      <c r="A66" s="14">
        <v>65</v>
      </c>
      <c r="B66" s="15" t="s">
        <v>136</v>
      </c>
      <c r="C66" s="16" t="s">
        <v>677</v>
      </c>
      <c r="D66" s="25" t="s">
        <v>75</v>
      </c>
      <c r="E66" s="14" t="s">
        <v>678</v>
      </c>
      <c r="F66" s="14" t="s">
        <v>679</v>
      </c>
      <c r="G66" s="14" t="s">
        <v>680</v>
      </c>
      <c r="H66" s="14" t="s">
        <v>26</v>
      </c>
      <c r="I66" s="24" t="s">
        <v>26</v>
      </c>
      <c r="J66" s="18" t="s">
        <v>90</v>
      </c>
      <c r="K66" s="14" t="s">
        <v>97</v>
      </c>
      <c r="L66" s="14" t="s">
        <v>252</v>
      </c>
      <c r="M66" s="14" t="s">
        <v>681</v>
      </c>
      <c r="N66" s="14" t="s">
        <v>682</v>
      </c>
      <c r="O66" s="19" t="s">
        <v>683</v>
      </c>
      <c r="P66" s="20" t="s">
        <v>145</v>
      </c>
      <c r="Q66" s="14" t="s">
        <v>684</v>
      </c>
      <c r="R66" s="14" t="s">
        <v>385</v>
      </c>
      <c r="S66" s="14" t="s">
        <v>685</v>
      </c>
      <c r="T66" s="14" t="s">
        <v>504</v>
      </c>
      <c r="U66" s="14" t="s">
        <v>146</v>
      </c>
    </row>
    <row r="67" ht="72" customHeight="1" spans="1:21" s="14" customFormat="1" x14ac:dyDescent="0.25">
      <c r="A67" s="14">
        <v>66</v>
      </c>
      <c r="B67" s="15" t="s">
        <v>136</v>
      </c>
      <c r="C67" s="16" t="s">
        <v>686</v>
      </c>
      <c r="D67" s="25" t="s">
        <v>75</v>
      </c>
      <c r="E67" s="14" t="s">
        <v>687</v>
      </c>
      <c r="F67" s="14" t="s">
        <v>688</v>
      </c>
      <c r="G67" s="14" t="s">
        <v>689</v>
      </c>
      <c r="H67" s="14" t="s">
        <v>26</v>
      </c>
      <c r="I67" s="24" t="s">
        <v>26</v>
      </c>
      <c r="J67" s="18" t="s">
        <v>90</v>
      </c>
      <c r="K67" s="14" t="s">
        <v>97</v>
      </c>
      <c r="L67" s="14" t="s">
        <v>252</v>
      </c>
      <c r="M67" s="14" t="s">
        <v>690</v>
      </c>
      <c r="N67" s="14" t="s">
        <v>691</v>
      </c>
      <c r="O67" s="19" t="s">
        <v>443</v>
      </c>
      <c r="P67" s="20" t="s">
        <v>145</v>
      </c>
      <c r="Q67" s="14" t="s">
        <v>692</v>
      </c>
      <c r="R67" s="14" t="s">
        <v>385</v>
      </c>
      <c r="S67" s="14" t="s">
        <v>693</v>
      </c>
      <c r="T67" s="14" t="s">
        <v>504</v>
      </c>
      <c r="U67" s="14" t="s">
        <v>146</v>
      </c>
    </row>
    <row r="68" ht="72" customHeight="1" spans="1:21" s="14" customFormat="1" x14ac:dyDescent="0.25">
      <c r="A68" s="14">
        <v>67</v>
      </c>
      <c r="B68" s="15" t="s">
        <v>136</v>
      </c>
      <c r="C68" s="16" t="s">
        <v>694</v>
      </c>
      <c r="D68" s="25" t="s">
        <v>75</v>
      </c>
      <c r="E68" s="14" t="s">
        <v>695</v>
      </c>
      <c r="F68" s="14" t="s">
        <v>696</v>
      </c>
      <c r="G68" s="14" t="s">
        <v>697</v>
      </c>
      <c r="H68" s="14" t="s">
        <v>26</v>
      </c>
      <c r="I68" s="24" t="s">
        <v>26</v>
      </c>
      <c r="J68" s="18" t="s">
        <v>90</v>
      </c>
      <c r="K68" s="14" t="s">
        <v>97</v>
      </c>
      <c r="L68" s="14" t="s">
        <v>252</v>
      </c>
      <c r="M68" s="14" t="s">
        <v>698</v>
      </c>
      <c r="N68" s="14" t="s">
        <v>699</v>
      </c>
      <c r="O68" s="19" t="s">
        <v>700</v>
      </c>
      <c r="P68" s="20" t="s">
        <v>145</v>
      </c>
      <c r="Q68" s="14" t="s">
        <v>701</v>
      </c>
      <c r="R68" s="14" t="s">
        <v>454</v>
      </c>
      <c r="S68" s="14" t="s">
        <v>702</v>
      </c>
      <c r="T68" s="14" t="s">
        <v>504</v>
      </c>
      <c r="U68" s="14" t="s">
        <v>146</v>
      </c>
    </row>
    <row r="69" ht="72" customHeight="1" spans="1:21" s="14" customFormat="1" x14ac:dyDescent="0.25">
      <c r="A69" s="14">
        <v>68</v>
      </c>
      <c r="B69" s="15" t="s">
        <v>136</v>
      </c>
      <c r="C69" s="16" t="s">
        <v>703</v>
      </c>
      <c r="D69" s="25" t="s">
        <v>75</v>
      </c>
      <c r="E69" s="14" t="s">
        <v>704</v>
      </c>
      <c r="F69" s="14" t="s">
        <v>458</v>
      </c>
      <c r="G69" s="14" t="s">
        <v>705</v>
      </c>
      <c r="H69" s="14" t="s">
        <v>26</v>
      </c>
      <c r="I69" s="24" t="s">
        <v>26</v>
      </c>
      <c r="J69" s="18" t="s">
        <v>90</v>
      </c>
      <c r="K69" s="14" t="s">
        <v>97</v>
      </c>
      <c r="L69" s="14" t="s">
        <v>252</v>
      </c>
      <c r="M69" s="14" t="s">
        <v>706</v>
      </c>
      <c r="N69" s="14" t="s">
        <v>707</v>
      </c>
      <c r="O69" s="19" t="s">
        <v>708</v>
      </c>
      <c r="P69" s="20" t="s">
        <v>145</v>
      </c>
      <c r="Q69" s="14" t="s">
        <v>709</v>
      </c>
      <c r="R69" s="14" t="s">
        <v>464</v>
      </c>
      <c r="S69" s="14" t="s">
        <v>710</v>
      </c>
      <c r="T69" s="14" t="s">
        <v>504</v>
      </c>
      <c r="U69" s="14" t="s">
        <v>146</v>
      </c>
    </row>
    <row r="70" ht="72" customHeight="1" spans="1:21" s="14" customFormat="1" x14ac:dyDescent="0.25">
      <c r="A70" s="14">
        <v>69</v>
      </c>
      <c r="B70" s="15" t="s">
        <v>136</v>
      </c>
      <c r="C70" s="16" t="s">
        <v>711</v>
      </c>
      <c r="D70" s="25" t="s">
        <v>75</v>
      </c>
      <c r="E70" s="14" t="s">
        <v>712</v>
      </c>
      <c r="F70" s="14" t="s">
        <v>713</v>
      </c>
      <c r="G70" s="14" t="s">
        <v>714</v>
      </c>
      <c r="H70" s="14" t="s">
        <v>26</v>
      </c>
      <c r="I70" s="24" t="s">
        <v>26</v>
      </c>
      <c r="J70" s="18" t="s">
        <v>90</v>
      </c>
      <c r="K70" s="14" t="s">
        <v>97</v>
      </c>
      <c r="L70" s="14" t="s">
        <v>252</v>
      </c>
      <c r="M70" s="14" t="s">
        <v>715</v>
      </c>
      <c r="N70" s="14" t="s">
        <v>716</v>
      </c>
      <c r="O70" s="19" t="s">
        <v>717</v>
      </c>
      <c r="P70" s="20" t="s">
        <v>145</v>
      </c>
      <c r="Q70" s="14" t="s">
        <v>718</v>
      </c>
      <c r="R70" s="14" t="s">
        <v>475</v>
      </c>
      <c r="S70" s="14" t="s">
        <v>719</v>
      </c>
      <c r="T70" s="14" t="s">
        <v>504</v>
      </c>
      <c r="U70" s="14" t="s">
        <v>146</v>
      </c>
    </row>
    <row r="71" ht="72" customHeight="1" spans="1:21" s="14" customFormat="1" x14ac:dyDescent="0.25">
      <c r="A71" s="14">
        <v>70</v>
      </c>
      <c r="B71" s="15" t="s">
        <v>136</v>
      </c>
      <c r="C71" s="16" t="s">
        <v>720</v>
      </c>
      <c r="D71" s="25" t="s">
        <v>75</v>
      </c>
      <c r="E71" s="14" t="s">
        <v>721</v>
      </c>
      <c r="F71" s="14" t="s">
        <v>722</v>
      </c>
      <c r="G71" s="14" t="s">
        <v>723</v>
      </c>
      <c r="H71" s="14" t="s">
        <v>26</v>
      </c>
      <c r="I71" s="24" t="s">
        <v>26</v>
      </c>
      <c r="J71" s="18" t="s">
        <v>90</v>
      </c>
      <c r="K71" s="14" t="s">
        <v>97</v>
      </c>
      <c r="L71" s="14" t="s">
        <v>252</v>
      </c>
      <c r="M71" s="14" t="s">
        <v>724</v>
      </c>
      <c r="N71" s="14" t="s">
        <v>725</v>
      </c>
      <c r="O71" s="19" t="s">
        <v>726</v>
      </c>
      <c r="P71" s="20" t="s">
        <v>145</v>
      </c>
      <c r="Q71" s="14" t="s">
        <v>727</v>
      </c>
      <c r="R71" s="14" t="s">
        <v>475</v>
      </c>
      <c r="S71" s="14" t="s">
        <v>728</v>
      </c>
      <c r="T71" s="14" t="s">
        <v>504</v>
      </c>
      <c r="U71" s="14" t="s">
        <v>146</v>
      </c>
    </row>
    <row r="72" ht="72" customHeight="1" spans="1:21" s="14" customFormat="1" x14ac:dyDescent="0.25">
      <c r="A72" s="14">
        <v>71</v>
      </c>
      <c r="B72" s="15" t="s">
        <v>136</v>
      </c>
      <c r="C72" s="16" t="s">
        <v>729</v>
      </c>
      <c r="D72" s="25" t="s">
        <v>75</v>
      </c>
      <c r="E72" s="14" t="s">
        <v>730</v>
      </c>
      <c r="F72" s="14" t="s">
        <v>731</v>
      </c>
      <c r="G72" s="14" t="s">
        <v>732</v>
      </c>
      <c r="H72" s="14" t="s">
        <v>26</v>
      </c>
      <c r="I72" s="24" t="s">
        <v>26</v>
      </c>
      <c r="J72" s="18" t="s">
        <v>90</v>
      </c>
      <c r="K72" s="14" t="s">
        <v>95</v>
      </c>
      <c r="L72" s="14" t="s">
        <v>252</v>
      </c>
      <c r="M72" s="14" t="s">
        <v>733</v>
      </c>
      <c r="N72" s="14" t="s">
        <v>734</v>
      </c>
      <c r="O72" s="19" t="s">
        <v>735</v>
      </c>
      <c r="P72" s="20" t="s">
        <v>145</v>
      </c>
      <c r="Q72" s="14" t="s">
        <v>485</v>
      </c>
      <c r="R72" s="14" t="s">
        <v>486</v>
      </c>
      <c r="S72" s="14" t="s">
        <v>736</v>
      </c>
      <c r="T72" s="14" t="s">
        <v>504</v>
      </c>
      <c r="U72" s="14" t="s">
        <v>146</v>
      </c>
    </row>
    <row r="73" ht="72" customHeight="1" spans="1:21" s="14" customFormat="1" x14ac:dyDescent="0.25">
      <c r="A73" s="14">
        <v>72</v>
      </c>
      <c r="B73" s="15" t="s">
        <v>136</v>
      </c>
      <c r="C73" s="16" t="s">
        <v>737</v>
      </c>
      <c r="D73" s="25" t="s">
        <v>75</v>
      </c>
      <c r="E73" s="14" t="s">
        <v>704</v>
      </c>
      <c r="F73" s="14" t="s">
        <v>738</v>
      </c>
      <c r="G73" s="14" t="s">
        <v>739</v>
      </c>
      <c r="H73" s="14" t="s">
        <v>26</v>
      </c>
      <c r="I73" s="24" t="s">
        <v>26</v>
      </c>
      <c r="J73" s="18" t="s">
        <v>90</v>
      </c>
      <c r="K73" s="14" t="s">
        <v>97</v>
      </c>
      <c r="L73" s="14" t="s">
        <v>740</v>
      </c>
      <c r="M73" s="14" t="s">
        <v>741</v>
      </c>
      <c r="N73" s="14" t="s">
        <v>742</v>
      </c>
      <c r="O73" s="19" t="s">
        <v>708</v>
      </c>
      <c r="P73" s="20" t="s">
        <v>145</v>
      </c>
      <c r="Q73" s="14" t="s">
        <v>743</v>
      </c>
      <c r="R73" s="14" t="s">
        <v>464</v>
      </c>
      <c r="S73" s="14" t="s">
        <v>744</v>
      </c>
      <c r="T73" s="14" t="s">
        <v>504</v>
      </c>
      <c r="U73" s="14" t="s">
        <v>146</v>
      </c>
    </row>
    <row r="74" ht="72" customHeight="1" spans="1:21" s="14" customFormat="1" x14ac:dyDescent="0.25">
      <c r="A74" s="14">
        <v>73</v>
      </c>
      <c r="B74" s="15" t="s">
        <v>136</v>
      </c>
      <c r="C74" s="16" t="s">
        <v>745</v>
      </c>
      <c r="D74" s="25" t="s">
        <v>75</v>
      </c>
      <c r="E74" s="14" t="s">
        <v>746</v>
      </c>
      <c r="F74" s="14" t="s">
        <v>747</v>
      </c>
      <c r="G74" s="14" t="s">
        <v>748</v>
      </c>
      <c r="H74" s="14" t="s">
        <v>111</v>
      </c>
      <c r="I74" s="14" t="s">
        <v>84</v>
      </c>
      <c r="J74" s="18" t="s">
        <v>90</v>
      </c>
      <c r="K74" s="14" t="s">
        <v>95</v>
      </c>
      <c r="L74" s="14" t="s">
        <v>749</v>
      </c>
      <c r="M74" s="14" t="s">
        <v>750</v>
      </c>
      <c r="N74" s="14" t="s">
        <v>751</v>
      </c>
      <c r="O74" s="19" t="s">
        <v>752</v>
      </c>
      <c r="P74" s="21" t="s">
        <v>136</v>
      </c>
      <c r="Q74" s="14" t="s">
        <v>146</v>
      </c>
      <c r="R74" s="14" t="s">
        <v>146</v>
      </c>
      <c r="S74" s="14" t="s">
        <v>753</v>
      </c>
      <c r="T74" s="14" t="s">
        <v>504</v>
      </c>
      <c r="U74" s="14" t="s">
        <v>146</v>
      </c>
    </row>
    <row r="75" ht="72" customHeight="1" spans="1:21" s="14" customFormat="1" x14ac:dyDescent="0.25">
      <c r="A75" s="14">
        <v>74</v>
      </c>
      <c r="B75" s="15" t="s">
        <v>136</v>
      </c>
      <c r="C75" s="16" t="s">
        <v>754</v>
      </c>
      <c r="D75" s="25" t="s">
        <v>75</v>
      </c>
      <c r="E75" s="14" t="s">
        <v>746</v>
      </c>
      <c r="F75" s="14" t="s">
        <v>755</v>
      </c>
      <c r="G75" s="14" t="s">
        <v>756</v>
      </c>
      <c r="H75" s="14" t="s">
        <v>111</v>
      </c>
      <c r="I75" s="14" t="s">
        <v>84</v>
      </c>
      <c r="J75" s="18" t="s">
        <v>90</v>
      </c>
      <c r="K75" s="14" t="s">
        <v>95</v>
      </c>
      <c r="L75" s="14" t="s">
        <v>749</v>
      </c>
      <c r="M75" s="14" t="s">
        <v>757</v>
      </c>
      <c r="N75" s="14" t="s">
        <v>758</v>
      </c>
      <c r="O75" s="19" t="s">
        <v>759</v>
      </c>
      <c r="P75" s="21" t="s">
        <v>136</v>
      </c>
      <c r="Q75" s="14" t="s">
        <v>146</v>
      </c>
      <c r="R75" s="14" t="s">
        <v>146</v>
      </c>
      <c r="S75" s="14" t="s">
        <v>753</v>
      </c>
      <c r="T75" s="14" t="s">
        <v>504</v>
      </c>
      <c r="U75" s="14" t="s">
        <v>146</v>
      </c>
    </row>
    <row r="76" ht="72" customHeight="1" spans="1:21" s="14" customFormat="1" x14ac:dyDescent="0.25">
      <c r="A76" s="14">
        <v>75</v>
      </c>
      <c r="B76" s="15" t="s">
        <v>136</v>
      </c>
      <c r="C76" s="16" t="s">
        <v>760</v>
      </c>
      <c r="D76" s="25" t="s">
        <v>75</v>
      </c>
      <c r="E76" s="14" t="s">
        <v>746</v>
      </c>
      <c r="F76" s="14" t="s">
        <v>761</v>
      </c>
      <c r="G76" s="14" t="s">
        <v>762</v>
      </c>
      <c r="H76" s="14" t="s">
        <v>111</v>
      </c>
      <c r="I76" s="14" t="s">
        <v>84</v>
      </c>
      <c r="J76" s="18" t="s">
        <v>90</v>
      </c>
      <c r="K76" s="14" t="s">
        <v>95</v>
      </c>
      <c r="L76" s="14" t="s">
        <v>749</v>
      </c>
      <c r="M76" s="14" t="s">
        <v>763</v>
      </c>
      <c r="N76" s="14" t="s">
        <v>764</v>
      </c>
      <c r="O76" s="19" t="s">
        <v>765</v>
      </c>
      <c r="P76" s="21" t="s">
        <v>136</v>
      </c>
      <c r="Q76" s="14" t="s">
        <v>146</v>
      </c>
      <c r="R76" s="14" t="s">
        <v>146</v>
      </c>
      <c r="S76" s="14" t="s">
        <v>753</v>
      </c>
      <c r="T76" s="14" t="s">
        <v>504</v>
      </c>
      <c r="U76" s="14" t="s">
        <v>146</v>
      </c>
    </row>
    <row r="77" ht="72" customHeight="1" spans="1:21" s="14" customFormat="1" x14ac:dyDescent="0.25">
      <c r="A77" s="14">
        <v>76</v>
      </c>
      <c r="B77" s="15" t="s">
        <v>136</v>
      </c>
      <c r="C77" s="16" t="s">
        <v>766</v>
      </c>
      <c r="D77" s="25" t="s">
        <v>75</v>
      </c>
      <c r="E77" s="14" t="s">
        <v>746</v>
      </c>
      <c r="F77" s="14" t="s">
        <v>767</v>
      </c>
      <c r="G77" s="14" t="s">
        <v>768</v>
      </c>
      <c r="H77" s="14" t="s">
        <v>111</v>
      </c>
      <c r="I77" s="14" t="s">
        <v>84</v>
      </c>
      <c r="J77" s="18" t="s">
        <v>90</v>
      </c>
      <c r="K77" s="14" t="s">
        <v>95</v>
      </c>
      <c r="L77" s="14" t="s">
        <v>749</v>
      </c>
      <c r="M77" s="14" t="s">
        <v>769</v>
      </c>
      <c r="N77" s="14" t="s">
        <v>770</v>
      </c>
      <c r="O77" s="19" t="s">
        <v>771</v>
      </c>
      <c r="P77" s="21" t="s">
        <v>136</v>
      </c>
      <c r="Q77" s="14" t="s">
        <v>146</v>
      </c>
      <c r="R77" s="14" t="s">
        <v>146</v>
      </c>
      <c r="S77" s="14" t="s">
        <v>753</v>
      </c>
      <c r="T77" s="14" t="s">
        <v>504</v>
      </c>
      <c r="U77" s="14" t="s">
        <v>146</v>
      </c>
    </row>
    <row r="78" ht="72" customHeight="1" spans="1:21" s="14" customFormat="1" x14ac:dyDescent="0.25">
      <c r="A78" s="14">
        <v>77</v>
      </c>
      <c r="B78" s="15" t="s">
        <v>136</v>
      </c>
      <c r="C78" s="16" t="s">
        <v>772</v>
      </c>
      <c r="D78" s="25" t="s">
        <v>75</v>
      </c>
      <c r="E78" s="14" t="s">
        <v>746</v>
      </c>
      <c r="F78" s="14" t="s">
        <v>773</v>
      </c>
      <c r="G78" s="14" t="s">
        <v>774</v>
      </c>
      <c r="H78" s="14" t="s">
        <v>111</v>
      </c>
      <c r="I78" s="14" t="s">
        <v>84</v>
      </c>
      <c r="J78" s="18" t="s">
        <v>90</v>
      </c>
      <c r="K78" s="14" t="s">
        <v>95</v>
      </c>
      <c r="L78" s="14" t="s">
        <v>749</v>
      </c>
      <c r="M78" s="14" t="s">
        <v>775</v>
      </c>
      <c r="N78" s="14" t="s">
        <v>776</v>
      </c>
      <c r="O78" s="19" t="s">
        <v>777</v>
      </c>
      <c r="P78" s="21" t="s">
        <v>136</v>
      </c>
      <c r="Q78" s="14" t="s">
        <v>146</v>
      </c>
      <c r="R78" s="14" t="s">
        <v>146</v>
      </c>
      <c r="S78" s="14" t="s">
        <v>753</v>
      </c>
      <c r="T78" s="14" t="s">
        <v>504</v>
      </c>
      <c r="U78" s="14" t="s">
        <v>146</v>
      </c>
    </row>
    <row r="79" ht="72" customHeight="1" spans="1:21" s="14" customFormat="1" x14ac:dyDescent="0.25">
      <c r="A79" s="14">
        <v>78</v>
      </c>
      <c r="B79" s="15" t="s">
        <v>136</v>
      </c>
      <c r="C79" s="16" t="s">
        <v>778</v>
      </c>
      <c r="D79" s="25" t="s">
        <v>75</v>
      </c>
      <c r="E79" s="14" t="s">
        <v>746</v>
      </c>
      <c r="F79" s="14" t="s">
        <v>779</v>
      </c>
      <c r="G79" s="14" t="s">
        <v>780</v>
      </c>
      <c r="H79" s="14" t="s">
        <v>111</v>
      </c>
      <c r="I79" s="14" t="s">
        <v>84</v>
      </c>
      <c r="J79" s="18" t="s">
        <v>90</v>
      </c>
      <c r="K79" s="14" t="s">
        <v>95</v>
      </c>
      <c r="L79" s="14" t="s">
        <v>749</v>
      </c>
      <c r="M79" s="14" t="s">
        <v>781</v>
      </c>
      <c r="N79" s="14" t="s">
        <v>782</v>
      </c>
      <c r="O79" s="19" t="s">
        <v>783</v>
      </c>
      <c r="P79" s="21" t="s">
        <v>136</v>
      </c>
      <c r="Q79" s="14" t="s">
        <v>146</v>
      </c>
      <c r="R79" s="14" t="s">
        <v>146</v>
      </c>
      <c r="S79" s="14" t="s">
        <v>753</v>
      </c>
      <c r="T79" s="14" t="s">
        <v>504</v>
      </c>
      <c r="U79" s="14" t="s">
        <v>146</v>
      </c>
    </row>
    <row r="80" ht="72" customHeight="1" spans="1:21" s="14" customFormat="1" x14ac:dyDescent="0.25">
      <c r="A80" s="14">
        <v>79</v>
      </c>
      <c r="B80" s="15" t="s">
        <v>136</v>
      </c>
      <c r="C80" s="16" t="s">
        <v>784</v>
      </c>
      <c r="D80" s="25" t="s">
        <v>75</v>
      </c>
      <c r="E80" s="14" t="s">
        <v>746</v>
      </c>
      <c r="F80" s="14" t="s">
        <v>785</v>
      </c>
      <c r="G80" s="14" t="s">
        <v>786</v>
      </c>
      <c r="H80" s="14" t="s">
        <v>111</v>
      </c>
      <c r="I80" s="14" t="s">
        <v>84</v>
      </c>
      <c r="J80" s="18" t="s">
        <v>90</v>
      </c>
      <c r="K80" s="14" t="s">
        <v>95</v>
      </c>
      <c r="L80" s="14" t="s">
        <v>749</v>
      </c>
      <c r="M80" s="14" t="s">
        <v>787</v>
      </c>
      <c r="N80" s="14" t="s">
        <v>788</v>
      </c>
      <c r="O80" s="19" t="s">
        <v>789</v>
      </c>
      <c r="P80" s="21" t="s">
        <v>136</v>
      </c>
      <c r="Q80" s="14" t="s">
        <v>146</v>
      </c>
      <c r="R80" s="14" t="s">
        <v>146</v>
      </c>
      <c r="S80" s="14" t="s">
        <v>753</v>
      </c>
      <c r="T80" s="14" t="s">
        <v>504</v>
      </c>
      <c r="U80" s="14" t="s">
        <v>146</v>
      </c>
    </row>
    <row r="81" ht="72" customHeight="1" spans="1:21" s="14" customFormat="1" x14ac:dyDescent="0.25">
      <c r="A81" s="14">
        <v>80</v>
      </c>
      <c r="B81" s="15" t="s">
        <v>136</v>
      </c>
      <c r="C81" s="16" t="s">
        <v>790</v>
      </c>
      <c r="D81" s="25" t="s">
        <v>75</v>
      </c>
      <c r="E81" s="14" t="s">
        <v>746</v>
      </c>
      <c r="F81" s="14" t="s">
        <v>791</v>
      </c>
      <c r="G81" s="14" t="s">
        <v>792</v>
      </c>
      <c r="H81" s="14" t="s">
        <v>111</v>
      </c>
      <c r="I81" s="14" t="s">
        <v>84</v>
      </c>
      <c r="J81" s="18" t="s">
        <v>90</v>
      </c>
      <c r="K81" s="14" t="s">
        <v>95</v>
      </c>
      <c r="L81" s="14" t="s">
        <v>749</v>
      </c>
      <c r="M81" s="14" t="s">
        <v>793</v>
      </c>
      <c r="N81" s="14" t="s">
        <v>794</v>
      </c>
      <c r="O81" s="19" t="s">
        <v>795</v>
      </c>
      <c r="P81" s="21" t="s">
        <v>136</v>
      </c>
      <c r="Q81" s="14" t="s">
        <v>146</v>
      </c>
      <c r="R81" s="14" t="s">
        <v>146</v>
      </c>
      <c r="S81" s="14" t="s">
        <v>753</v>
      </c>
      <c r="T81" s="14" t="s">
        <v>504</v>
      </c>
      <c r="U81" s="14" t="s">
        <v>146</v>
      </c>
    </row>
    <row r="82" ht="72" customHeight="1" spans="1:21" s="14" customFormat="1" x14ac:dyDescent="0.25">
      <c r="A82" s="14">
        <v>81</v>
      </c>
      <c r="B82" s="15" t="s">
        <v>136</v>
      </c>
      <c r="C82" s="16" t="s">
        <v>796</v>
      </c>
      <c r="D82" s="25" t="s">
        <v>75</v>
      </c>
      <c r="E82" s="14" t="s">
        <v>746</v>
      </c>
      <c r="F82" s="14" t="s">
        <v>797</v>
      </c>
      <c r="G82" s="14" t="s">
        <v>798</v>
      </c>
      <c r="H82" s="14" t="s">
        <v>111</v>
      </c>
      <c r="I82" s="14" t="s">
        <v>84</v>
      </c>
      <c r="J82" s="18" t="s">
        <v>90</v>
      </c>
      <c r="K82" s="14" t="s">
        <v>95</v>
      </c>
      <c r="L82" s="14" t="s">
        <v>749</v>
      </c>
      <c r="M82" s="14" t="s">
        <v>799</v>
      </c>
      <c r="N82" s="14" t="s">
        <v>800</v>
      </c>
      <c r="O82" s="19" t="s">
        <v>801</v>
      </c>
      <c r="P82" s="21" t="s">
        <v>136</v>
      </c>
      <c r="Q82" s="14" t="s">
        <v>146</v>
      </c>
      <c r="R82" s="14" t="s">
        <v>146</v>
      </c>
      <c r="S82" s="14" t="s">
        <v>753</v>
      </c>
      <c r="T82" s="14" t="s">
        <v>504</v>
      </c>
      <c r="U82" s="14" t="s">
        <v>146</v>
      </c>
    </row>
    <row r="83" ht="72" customHeight="1" spans="1:21" s="14" customFormat="1" x14ac:dyDescent="0.25">
      <c r="A83" s="14">
        <v>82</v>
      </c>
      <c r="B83" s="15" t="s">
        <v>136</v>
      </c>
      <c r="C83" s="16" t="s">
        <v>802</v>
      </c>
      <c r="D83" s="25" t="s">
        <v>75</v>
      </c>
      <c r="E83" s="14" t="s">
        <v>746</v>
      </c>
      <c r="F83" s="14" t="s">
        <v>803</v>
      </c>
      <c r="G83" s="14" t="s">
        <v>804</v>
      </c>
      <c r="H83" s="14" t="s">
        <v>111</v>
      </c>
      <c r="I83" s="14" t="s">
        <v>84</v>
      </c>
      <c r="J83" s="18" t="s">
        <v>90</v>
      </c>
      <c r="K83" s="14" t="s">
        <v>95</v>
      </c>
      <c r="L83" s="14" t="s">
        <v>749</v>
      </c>
      <c r="M83" s="14" t="s">
        <v>805</v>
      </c>
      <c r="N83" s="14" t="s">
        <v>806</v>
      </c>
      <c r="O83" s="19" t="s">
        <v>807</v>
      </c>
      <c r="P83" s="21" t="s">
        <v>136</v>
      </c>
      <c r="Q83" s="14" t="s">
        <v>146</v>
      </c>
      <c r="R83" s="14" t="s">
        <v>146</v>
      </c>
      <c r="S83" s="14" t="s">
        <v>753</v>
      </c>
      <c r="T83" s="14" t="s">
        <v>504</v>
      </c>
      <c r="U83" s="14" t="s">
        <v>146</v>
      </c>
    </row>
    <row r="84" ht="72" customHeight="1" spans="1:21" s="14" customFormat="1" x14ac:dyDescent="0.25">
      <c r="A84" s="14">
        <v>83</v>
      </c>
      <c r="B84" s="15" t="s">
        <v>136</v>
      </c>
      <c r="C84" s="16" t="s">
        <v>808</v>
      </c>
      <c r="D84" s="25" t="s">
        <v>75</v>
      </c>
      <c r="E84" s="14" t="s">
        <v>746</v>
      </c>
      <c r="F84" s="14" t="s">
        <v>809</v>
      </c>
      <c r="G84" s="14" t="s">
        <v>810</v>
      </c>
      <c r="H84" s="14" t="s">
        <v>111</v>
      </c>
      <c r="I84" s="14" t="s">
        <v>84</v>
      </c>
      <c r="J84" s="18" t="s">
        <v>90</v>
      </c>
      <c r="K84" s="14" t="s">
        <v>95</v>
      </c>
      <c r="L84" s="14" t="s">
        <v>749</v>
      </c>
      <c r="M84" s="14" t="s">
        <v>811</v>
      </c>
      <c r="N84" s="14" t="s">
        <v>812</v>
      </c>
      <c r="O84" s="19" t="s">
        <v>813</v>
      </c>
      <c r="P84" s="21" t="s">
        <v>136</v>
      </c>
      <c r="Q84" s="14" t="s">
        <v>146</v>
      </c>
      <c r="R84" s="14" t="s">
        <v>146</v>
      </c>
      <c r="S84" s="14" t="s">
        <v>753</v>
      </c>
      <c r="T84" s="14" t="s">
        <v>504</v>
      </c>
      <c r="U84" s="14" t="s">
        <v>146</v>
      </c>
    </row>
    <row r="85" ht="72" customHeight="1" spans="1:21" s="14" customFormat="1" x14ac:dyDescent="0.25">
      <c r="A85" s="14">
        <v>84</v>
      </c>
      <c r="B85" s="15" t="s">
        <v>136</v>
      </c>
      <c r="C85" s="16" t="s">
        <v>814</v>
      </c>
      <c r="D85" s="25" t="s">
        <v>75</v>
      </c>
      <c r="E85" s="14" t="s">
        <v>746</v>
      </c>
      <c r="F85" s="14" t="s">
        <v>815</v>
      </c>
      <c r="G85" s="14" t="s">
        <v>816</v>
      </c>
      <c r="H85" s="14" t="s">
        <v>111</v>
      </c>
      <c r="I85" s="14" t="s">
        <v>84</v>
      </c>
      <c r="J85" s="18" t="s">
        <v>90</v>
      </c>
      <c r="K85" s="14" t="s">
        <v>95</v>
      </c>
      <c r="L85" s="14" t="s">
        <v>749</v>
      </c>
      <c r="M85" s="14" t="s">
        <v>817</v>
      </c>
      <c r="N85" s="14" t="s">
        <v>818</v>
      </c>
      <c r="O85" s="19" t="s">
        <v>819</v>
      </c>
      <c r="P85" s="21" t="s">
        <v>136</v>
      </c>
      <c r="Q85" s="14" t="s">
        <v>146</v>
      </c>
      <c r="R85" s="14" t="s">
        <v>146</v>
      </c>
      <c r="S85" s="14" t="s">
        <v>753</v>
      </c>
      <c r="T85" s="14" t="s">
        <v>504</v>
      </c>
      <c r="U85" s="14" t="s">
        <v>146</v>
      </c>
    </row>
    <row r="86" ht="72" customHeight="1" spans="1:21" s="14" customFormat="1" x14ac:dyDescent="0.25">
      <c r="A86" s="14">
        <v>85</v>
      </c>
      <c r="B86" s="15" t="s">
        <v>136</v>
      </c>
      <c r="C86" s="16" t="s">
        <v>820</v>
      </c>
      <c r="D86" s="25" t="s">
        <v>75</v>
      </c>
      <c r="E86" s="14" t="s">
        <v>746</v>
      </c>
      <c r="F86" s="14" t="s">
        <v>821</v>
      </c>
      <c r="G86" s="14" t="s">
        <v>822</v>
      </c>
      <c r="H86" s="14" t="s">
        <v>111</v>
      </c>
      <c r="I86" s="14" t="s">
        <v>84</v>
      </c>
      <c r="J86" s="18" t="s">
        <v>90</v>
      </c>
      <c r="K86" s="14" t="s">
        <v>95</v>
      </c>
      <c r="L86" s="14" t="s">
        <v>749</v>
      </c>
      <c r="M86" s="14" t="s">
        <v>823</v>
      </c>
      <c r="N86" s="14" t="s">
        <v>824</v>
      </c>
      <c r="O86" s="19" t="s">
        <v>825</v>
      </c>
      <c r="P86" s="21" t="s">
        <v>136</v>
      </c>
      <c r="Q86" s="14" t="s">
        <v>146</v>
      </c>
      <c r="R86" s="14" t="s">
        <v>146</v>
      </c>
      <c r="S86" s="14" t="s">
        <v>753</v>
      </c>
      <c r="T86" s="14" t="s">
        <v>504</v>
      </c>
      <c r="U86" s="14" t="s">
        <v>146</v>
      </c>
    </row>
    <row r="87" ht="72" customHeight="1" spans="1:21" s="14" customFormat="1" x14ac:dyDescent="0.25">
      <c r="A87" s="14">
        <v>86</v>
      </c>
      <c r="B87" s="15" t="s">
        <v>136</v>
      </c>
      <c r="C87" s="16" t="s">
        <v>826</v>
      </c>
      <c r="D87" s="25" t="s">
        <v>75</v>
      </c>
      <c r="E87" s="14" t="s">
        <v>746</v>
      </c>
      <c r="F87" s="14" t="s">
        <v>827</v>
      </c>
      <c r="G87" s="14" t="s">
        <v>828</v>
      </c>
      <c r="H87" s="14" t="s">
        <v>111</v>
      </c>
      <c r="I87" s="14" t="s">
        <v>84</v>
      </c>
      <c r="J87" s="18" t="s">
        <v>90</v>
      </c>
      <c r="K87" s="14" t="s">
        <v>95</v>
      </c>
      <c r="L87" s="14" t="s">
        <v>749</v>
      </c>
      <c r="M87" s="14" t="s">
        <v>829</v>
      </c>
      <c r="N87" s="14" t="s">
        <v>830</v>
      </c>
      <c r="O87" s="19" t="s">
        <v>831</v>
      </c>
      <c r="P87" s="21" t="s">
        <v>136</v>
      </c>
      <c r="Q87" s="14" t="s">
        <v>146</v>
      </c>
      <c r="R87" s="14" t="s">
        <v>146</v>
      </c>
      <c r="S87" s="14" t="s">
        <v>753</v>
      </c>
      <c r="T87" s="14" t="s">
        <v>504</v>
      </c>
      <c r="U87" s="14" t="s">
        <v>146</v>
      </c>
    </row>
    <row r="88" ht="72" customHeight="1" spans="1:21" s="14" customFormat="1" x14ac:dyDescent="0.25">
      <c r="A88" s="14">
        <v>87</v>
      </c>
      <c r="B88" s="15" t="s">
        <v>136</v>
      </c>
      <c r="C88" s="16" t="s">
        <v>832</v>
      </c>
      <c r="D88" s="25" t="s">
        <v>75</v>
      </c>
      <c r="E88" s="14" t="s">
        <v>746</v>
      </c>
      <c r="F88" s="14" t="s">
        <v>833</v>
      </c>
      <c r="G88" s="14" t="s">
        <v>834</v>
      </c>
      <c r="H88" s="14" t="s">
        <v>111</v>
      </c>
      <c r="I88" s="14" t="s">
        <v>84</v>
      </c>
      <c r="J88" s="18" t="s">
        <v>90</v>
      </c>
      <c r="K88" s="14" t="s">
        <v>95</v>
      </c>
      <c r="L88" s="14" t="s">
        <v>749</v>
      </c>
      <c r="M88" s="14" t="s">
        <v>835</v>
      </c>
      <c r="N88" s="14" t="s">
        <v>836</v>
      </c>
      <c r="O88" s="19" t="s">
        <v>837</v>
      </c>
      <c r="P88" s="21" t="s">
        <v>136</v>
      </c>
      <c r="Q88" s="14" t="s">
        <v>146</v>
      </c>
      <c r="R88" s="14" t="s">
        <v>146</v>
      </c>
      <c r="S88" s="14" t="s">
        <v>753</v>
      </c>
      <c r="T88" s="14" t="s">
        <v>504</v>
      </c>
      <c r="U88" s="14" t="s">
        <v>146</v>
      </c>
    </row>
    <row r="89" ht="72" customHeight="1" spans="1:21" s="14" customFormat="1" x14ac:dyDescent="0.25">
      <c r="A89" s="14">
        <v>88</v>
      </c>
      <c r="B89" s="15" t="s">
        <v>136</v>
      </c>
      <c r="C89" s="16" t="s">
        <v>838</v>
      </c>
      <c r="D89" s="25" t="s">
        <v>75</v>
      </c>
      <c r="E89" s="14" t="s">
        <v>746</v>
      </c>
      <c r="F89" s="14" t="s">
        <v>839</v>
      </c>
      <c r="G89" s="14" t="s">
        <v>840</v>
      </c>
      <c r="H89" s="14" t="s">
        <v>111</v>
      </c>
      <c r="I89" s="14" t="s">
        <v>84</v>
      </c>
      <c r="J89" s="18" t="s">
        <v>90</v>
      </c>
      <c r="K89" s="14" t="s">
        <v>95</v>
      </c>
      <c r="L89" s="14" t="s">
        <v>749</v>
      </c>
      <c r="M89" s="14" t="s">
        <v>841</v>
      </c>
      <c r="N89" s="14" t="s">
        <v>842</v>
      </c>
      <c r="O89" s="19" t="s">
        <v>843</v>
      </c>
      <c r="P89" s="21" t="s">
        <v>136</v>
      </c>
      <c r="Q89" s="14" t="s">
        <v>146</v>
      </c>
      <c r="R89" s="14" t="s">
        <v>146</v>
      </c>
      <c r="S89" s="14" t="s">
        <v>753</v>
      </c>
      <c r="T89" s="14" t="s">
        <v>504</v>
      </c>
      <c r="U89" s="14" t="s">
        <v>146</v>
      </c>
    </row>
    <row r="90" ht="72" customHeight="1" spans="1:21" s="14" customFormat="1" x14ac:dyDescent="0.25">
      <c r="A90" s="14">
        <v>89</v>
      </c>
      <c r="B90" s="15" t="s">
        <v>136</v>
      </c>
      <c r="C90" s="16" t="s">
        <v>844</v>
      </c>
      <c r="D90" s="25" t="s">
        <v>75</v>
      </c>
      <c r="E90" s="14" t="s">
        <v>845</v>
      </c>
      <c r="F90" s="14" t="s">
        <v>846</v>
      </c>
      <c r="G90" s="14" t="s">
        <v>847</v>
      </c>
      <c r="H90" s="14" t="s">
        <v>111</v>
      </c>
      <c r="I90" s="14" t="s">
        <v>84</v>
      </c>
      <c r="J90" s="18" t="s">
        <v>90</v>
      </c>
      <c r="K90" s="14" t="s">
        <v>97</v>
      </c>
      <c r="L90" s="14" t="s">
        <v>848</v>
      </c>
      <c r="M90" s="14" t="s">
        <v>849</v>
      </c>
      <c r="N90" s="14" t="s">
        <v>850</v>
      </c>
      <c r="O90" s="19" t="s">
        <v>851</v>
      </c>
      <c r="P90" s="21" t="s">
        <v>136</v>
      </c>
      <c r="Q90" s="14" t="s">
        <v>146</v>
      </c>
      <c r="R90" s="14" t="s">
        <v>146</v>
      </c>
      <c r="S90" s="14" t="s">
        <v>852</v>
      </c>
      <c r="T90" s="14" t="s">
        <v>504</v>
      </c>
      <c r="U90" s="14" t="s">
        <v>146</v>
      </c>
    </row>
    <row r="91" ht="72" customHeight="1" spans="1:21" s="14" customFormat="1" x14ac:dyDescent="0.25">
      <c r="A91" s="14">
        <v>90</v>
      </c>
      <c r="B91" s="15" t="s">
        <v>136</v>
      </c>
      <c r="C91" s="16" t="s">
        <v>853</v>
      </c>
      <c r="D91" s="25" t="s">
        <v>75</v>
      </c>
      <c r="E91" s="14" t="s">
        <v>854</v>
      </c>
      <c r="F91" s="14" t="s">
        <v>855</v>
      </c>
      <c r="G91" s="14" t="s">
        <v>856</v>
      </c>
      <c r="H91" s="14" t="s">
        <v>111</v>
      </c>
      <c r="I91" s="14" t="s">
        <v>84</v>
      </c>
      <c r="J91" s="18" t="s">
        <v>90</v>
      </c>
      <c r="K91" s="14" t="s">
        <v>97</v>
      </c>
      <c r="L91" s="14" t="s">
        <v>857</v>
      </c>
      <c r="M91" s="14" t="s">
        <v>858</v>
      </c>
      <c r="N91" s="14" t="s">
        <v>859</v>
      </c>
      <c r="O91" s="19" t="s">
        <v>860</v>
      </c>
      <c r="P91" s="21" t="s">
        <v>136</v>
      </c>
      <c r="Q91" s="14" t="s">
        <v>146</v>
      </c>
      <c r="R91" s="14" t="s">
        <v>146</v>
      </c>
      <c r="S91" s="14" t="s">
        <v>861</v>
      </c>
      <c r="T91" s="14" t="s">
        <v>504</v>
      </c>
      <c r="U91" s="14" t="s">
        <v>146</v>
      </c>
    </row>
    <row r="92" ht="72" customHeight="1" spans="1:21" s="14" customFormat="1" x14ac:dyDescent="0.25">
      <c r="A92" s="14">
        <v>91</v>
      </c>
      <c r="B92" s="15" t="s">
        <v>136</v>
      </c>
      <c r="C92" s="16" t="s">
        <v>862</v>
      </c>
      <c r="D92" s="25" t="s">
        <v>75</v>
      </c>
      <c r="E92" s="14" t="s">
        <v>863</v>
      </c>
      <c r="F92" s="14" t="s">
        <v>864</v>
      </c>
      <c r="G92" s="14" t="s">
        <v>865</v>
      </c>
      <c r="H92" s="14" t="s">
        <v>111</v>
      </c>
      <c r="I92" s="14" t="s">
        <v>84</v>
      </c>
      <c r="J92" s="18" t="s">
        <v>90</v>
      </c>
      <c r="K92" s="14" t="s">
        <v>97</v>
      </c>
      <c r="L92" s="14" t="s">
        <v>866</v>
      </c>
      <c r="M92" s="14" t="s">
        <v>867</v>
      </c>
      <c r="N92" s="14" t="s">
        <v>868</v>
      </c>
      <c r="O92" s="19" t="s">
        <v>869</v>
      </c>
      <c r="P92" s="21" t="s">
        <v>136</v>
      </c>
      <c r="Q92" s="14" t="s">
        <v>146</v>
      </c>
      <c r="R92" s="14" t="s">
        <v>146</v>
      </c>
      <c r="S92" s="14" t="s">
        <v>870</v>
      </c>
      <c r="T92" s="14" t="s">
        <v>504</v>
      </c>
      <c r="U92" s="14" t="s">
        <v>146</v>
      </c>
    </row>
    <row r="93" ht="72" customHeight="1" spans="1:21" s="14" customFormat="1" x14ac:dyDescent="0.25">
      <c r="A93" s="14">
        <v>92</v>
      </c>
      <c r="B93" s="15" t="s">
        <v>136</v>
      </c>
      <c r="C93" s="16" t="s">
        <v>871</v>
      </c>
      <c r="D93" s="27" t="s">
        <v>67</v>
      </c>
      <c r="E93" s="14" t="s">
        <v>872</v>
      </c>
      <c r="F93" s="14" t="s">
        <v>873</v>
      </c>
      <c r="G93" s="14" t="s">
        <v>874</v>
      </c>
      <c r="H93" s="14" t="s">
        <v>113</v>
      </c>
      <c r="I93" s="14" t="s">
        <v>84</v>
      </c>
      <c r="J93" s="18" t="s">
        <v>90</v>
      </c>
      <c r="K93" s="14" t="s">
        <v>97</v>
      </c>
      <c r="L93" s="14" t="s">
        <v>252</v>
      </c>
      <c r="M93" s="14" t="s">
        <v>875</v>
      </c>
      <c r="N93" s="14" t="s">
        <v>876</v>
      </c>
      <c r="O93" s="19" t="s">
        <v>255</v>
      </c>
      <c r="P93" s="20" t="s">
        <v>145</v>
      </c>
      <c r="Q93" s="14" t="s">
        <v>146</v>
      </c>
      <c r="R93" s="14" t="s">
        <v>146</v>
      </c>
      <c r="S93" s="14" t="s">
        <v>877</v>
      </c>
      <c r="T93" s="14" t="s">
        <v>878</v>
      </c>
      <c r="U93" s="14" t="s">
        <v>146</v>
      </c>
    </row>
    <row r="94" ht="72" customHeight="1" spans="1:21" s="14" customFormat="1" x14ac:dyDescent="0.25">
      <c r="A94" s="14">
        <v>93</v>
      </c>
      <c r="B94" s="15" t="s">
        <v>136</v>
      </c>
      <c r="C94" s="16" t="s">
        <v>879</v>
      </c>
      <c r="D94" s="27" t="s">
        <v>67</v>
      </c>
      <c r="E94" s="14" t="s">
        <v>880</v>
      </c>
      <c r="F94" s="14" t="s">
        <v>881</v>
      </c>
      <c r="G94" s="14" t="s">
        <v>882</v>
      </c>
      <c r="H94" s="14" t="s">
        <v>113</v>
      </c>
      <c r="I94" s="14" t="s">
        <v>84</v>
      </c>
      <c r="J94" s="18" t="s">
        <v>90</v>
      </c>
      <c r="K94" s="14" t="s">
        <v>97</v>
      </c>
      <c r="L94" s="14" t="s">
        <v>883</v>
      </c>
      <c r="M94" s="14" t="s">
        <v>884</v>
      </c>
      <c r="N94" s="14" t="s">
        <v>885</v>
      </c>
      <c r="O94" s="19" t="s">
        <v>255</v>
      </c>
      <c r="P94" s="20" t="s">
        <v>145</v>
      </c>
      <c r="Q94" s="14" t="s">
        <v>146</v>
      </c>
      <c r="R94" s="14" t="s">
        <v>146</v>
      </c>
      <c r="S94" s="14" t="s">
        <v>886</v>
      </c>
      <c r="T94" s="14" t="s">
        <v>878</v>
      </c>
      <c r="U94" s="14" t="s">
        <v>146</v>
      </c>
    </row>
    <row r="95" ht="72" customHeight="1" spans="1:21" s="14" customFormat="1" x14ac:dyDescent="0.25">
      <c r="A95" s="14">
        <v>94</v>
      </c>
      <c r="B95" s="15" t="s">
        <v>136</v>
      </c>
      <c r="C95" s="16" t="s">
        <v>887</v>
      </c>
      <c r="D95" s="27" t="s">
        <v>67</v>
      </c>
      <c r="E95" s="14" t="s">
        <v>880</v>
      </c>
      <c r="F95" s="14" t="s">
        <v>888</v>
      </c>
      <c r="G95" s="14" t="s">
        <v>889</v>
      </c>
      <c r="H95" s="14" t="s">
        <v>113</v>
      </c>
      <c r="I95" s="14" t="s">
        <v>84</v>
      </c>
      <c r="J95" s="18" t="s">
        <v>90</v>
      </c>
      <c r="K95" s="14" t="s">
        <v>97</v>
      </c>
      <c r="L95" s="14" t="s">
        <v>252</v>
      </c>
      <c r="M95" s="14" t="s">
        <v>890</v>
      </c>
      <c r="N95" s="14" t="s">
        <v>891</v>
      </c>
      <c r="O95" s="19" t="s">
        <v>892</v>
      </c>
      <c r="P95" s="20" t="s">
        <v>145</v>
      </c>
      <c r="Q95" s="14" t="s">
        <v>146</v>
      </c>
      <c r="R95" s="14" t="s">
        <v>146</v>
      </c>
      <c r="S95" s="14" t="s">
        <v>893</v>
      </c>
      <c r="T95" s="14" t="s">
        <v>878</v>
      </c>
      <c r="U95" s="14" t="s">
        <v>146</v>
      </c>
    </row>
    <row r="96" ht="72" customHeight="1" spans="1:21" s="14" customFormat="1" x14ac:dyDescent="0.25">
      <c r="A96" s="14">
        <v>95</v>
      </c>
      <c r="B96" s="15" t="s">
        <v>136</v>
      </c>
      <c r="C96" s="16" t="s">
        <v>894</v>
      </c>
      <c r="D96" s="27" t="s">
        <v>67</v>
      </c>
      <c r="E96" s="14" t="s">
        <v>895</v>
      </c>
      <c r="F96" s="14" t="s">
        <v>896</v>
      </c>
      <c r="G96" s="14" t="s">
        <v>897</v>
      </c>
      <c r="H96" s="14" t="s">
        <v>113</v>
      </c>
      <c r="I96" s="14" t="s">
        <v>84</v>
      </c>
      <c r="J96" s="18" t="s">
        <v>90</v>
      </c>
      <c r="K96" s="14" t="s">
        <v>97</v>
      </c>
      <c r="L96" s="14" t="s">
        <v>252</v>
      </c>
      <c r="M96" s="14" t="s">
        <v>898</v>
      </c>
      <c r="N96" s="14" t="s">
        <v>899</v>
      </c>
      <c r="O96" s="19" t="s">
        <v>900</v>
      </c>
      <c r="P96" s="20" t="s">
        <v>145</v>
      </c>
      <c r="Q96" s="14" t="s">
        <v>146</v>
      </c>
      <c r="R96" s="14" t="s">
        <v>146</v>
      </c>
      <c r="S96" s="14" t="s">
        <v>901</v>
      </c>
      <c r="T96" s="14" t="s">
        <v>878</v>
      </c>
      <c r="U96" s="14" t="s">
        <v>146</v>
      </c>
    </row>
    <row r="97" ht="72" customHeight="1" spans="1:21" s="14" customFormat="1" x14ac:dyDescent="0.25">
      <c r="A97" s="14">
        <v>96</v>
      </c>
      <c r="B97" s="15" t="s">
        <v>136</v>
      </c>
      <c r="C97" s="16" t="s">
        <v>902</v>
      </c>
      <c r="D97" s="27" t="s">
        <v>67</v>
      </c>
      <c r="E97" s="14" t="s">
        <v>903</v>
      </c>
      <c r="F97" s="14" t="s">
        <v>904</v>
      </c>
      <c r="G97" s="14" t="s">
        <v>905</v>
      </c>
      <c r="H97" s="14" t="s">
        <v>113</v>
      </c>
      <c r="I97" s="22" t="s">
        <v>80</v>
      </c>
      <c r="J97" s="18" t="s">
        <v>90</v>
      </c>
      <c r="K97" s="14" t="s">
        <v>97</v>
      </c>
      <c r="L97" s="14" t="s">
        <v>252</v>
      </c>
      <c r="M97" s="14" t="s">
        <v>906</v>
      </c>
      <c r="N97" s="14" t="s">
        <v>907</v>
      </c>
      <c r="O97" s="19" t="s">
        <v>908</v>
      </c>
      <c r="P97" s="20" t="s">
        <v>145</v>
      </c>
      <c r="Q97" s="14" t="s">
        <v>146</v>
      </c>
      <c r="R97" s="14" t="s">
        <v>146</v>
      </c>
      <c r="S97" s="14" t="s">
        <v>909</v>
      </c>
      <c r="T97" s="14" t="s">
        <v>878</v>
      </c>
      <c r="U97" s="14" t="s">
        <v>146</v>
      </c>
    </row>
    <row r="98" ht="72" customHeight="1" spans="1:21" s="14" customFormat="1" x14ac:dyDescent="0.25">
      <c r="A98" s="14">
        <v>97</v>
      </c>
      <c r="B98" s="15" t="s">
        <v>136</v>
      </c>
      <c r="C98" s="16" t="s">
        <v>910</v>
      </c>
      <c r="D98" s="27" t="s">
        <v>67</v>
      </c>
      <c r="E98" s="14" t="s">
        <v>911</v>
      </c>
      <c r="F98" s="14" t="s">
        <v>912</v>
      </c>
      <c r="G98" s="14" t="s">
        <v>913</v>
      </c>
      <c r="H98" s="14" t="s">
        <v>113</v>
      </c>
      <c r="I98" s="24" t="s">
        <v>82</v>
      </c>
      <c r="J98" s="18" t="s">
        <v>90</v>
      </c>
      <c r="K98" s="14" t="s">
        <v>95</v>
      </c>
      <c r="L98" s="14" t="s">
        <v>252</v>
      </c>
      <c r="M98" s="14" t="s">
        <v>914</v>
      </c>
      <c r="N98" s="14" t="s">
        <v>915</v>
      </c>
      <c r="O98" s="19" t="s">
        <v>916</v>
      </c>
      <c r="P98" s="20" t="s">
        <v>145</v>
      </c>
      <c r="Q98" s="14" t="s">
        <v>917</v>
      </c>
      <c r="R98" s="14" t="s">
        <v>537</v>
      </c>
      <c r="S98" s="14" t="s">
        <v>918</v>
      </c>
      <c r="T98" s="14" t="s">
        <v>878</v>
      </c>
      <c r="U98" s="14" t="s">
        <v>146</v>
      </c>
    </row>
    <row r="99" ht="72" customHeight="1" spans="1:21" s="14" customFormat="1" x14ac:dyDescent="0.25">
      <c r="A99" s="14">
        <v>98</v>
      </c>
      <c r="B99" s="15" t="s">
        <v>136</v>
      </c>
      <c r="C99" s="16" t="s">
        <v>919</v>
      </c>
      <c r="D99" s="27" t="s">
        <v>67</v>
      </c>
      <c r="E99" s="14" t="s">
        <v>920</v>
      </c>
      <c r="F99" s="14" t="s">
        <v>921</v>
      </c>
      <c r="G99" s="14" t="s">
        <v>922</v>
      </c>
      <c r="H99" s="14" t="s">
        <v>113</v>
      </c>
      <c r="I99" s="22" t="s">
        <v>86</v>
      </c>
      <c r="J99" s="18" t="s">
        <v>90</v>
      </c>
      <c r="K99" s="14" t="s">
        <v>97</v>
      </c>
      <c r="L99" s="14" t="s">
        <v>252</v>
      </c>
      <c r="M99" s="14" t="s">
        <v>923</v>
      </c>
      <c r="N99" s="14" t="s">
        <v>924</v>
      </c>
      <c r="O99" s="19" t="s">
        <v>255</v>
      </c>
      <c r="P99" s="20" t="s">
        <v>145</v>
      </c>
      <c r="Q99" s="14" t="s">
        <v>146</v>
      </c>
      <c r="R99" s="14" t="s">
        <v>146</v>
      </c>
      <c r="S99" s="14" t="s">
        <v>925</v>
      </c>
      <c r="T99" s="14" t="s">
        <v>878</v>
      </c>
      <c r="U99" s="14" t="s">
        <v>146</v>
      </c>
    </row>
    <row r="100" ht="72" customHeight="1" spans="1:21" s="14" customFormat="1" x14ac:dyDescent="0.25">
      <c r="A100" s="14">
        <v>99</v>
      </c>
      <c r="B100" s="15" t="s">
        <v>136</v>
      </c>
      <c r="C100" s="16" t="s">
        <v>926</v>
      </c>
      <c r="D100" s="27" t="s">
        <v>67</v>
      </c>
      <c r="E100" s="14" t="s">
        <v>927</v>
      </c>
      <c r="F100" s="14" t="s">
        <v>928</v>
      </c>
      <c r="G100" s="14" t="s">
        <v>929</v>
      </c>
      <c r="H100" s="14" t="s">
        <v>113</v>
      </c>
      <c r="I100" s="14" t="s">
        <v>84</v>
      </c>
      <c r="J100" s="18" t="s">
        <v>90</v>
      </c>
      <c r="K100" s="14" t="s">
        <v>97</v>
      </c>
      <c r="L100" s="14" t="s">
        <v>252</v>
      </c>
      <c r="M100" s="14" t="s">
        <v>930</v>
      </c>
      <c r="N100" s="14" t="s">
        <v>931</v>
      </c>
      <c r="O100" s="19" t="s">
        <v>932</v>
      </c>
      <c r="P100" s="20" t="s">
        <v>145</v>
      </c>
      <c r="Q100" s="14" t="s">
        <v>146</v>
      </c>
      <c r="R100" s="14" t="s">
        <v>146</v>
      </c>
      <c r="S100" s="14" t="s">
        <v>933</v>
      </c>
      <c r="T100" s="14" t="s">
        <v>878</v>
      </c>
      <c r="U100" s="14" t="s">
        <v>146</v>
      </c>
    </row>
    <row r="101" ht="72" customHeight="1" spans="1:21" s="14" customFormat="1" x14ac:dyDescent="0.25">
      <c r="A101" s="14">
        <v>100</v>
      </c>
      <c r="B101" s="15" t="s">
        <v>136</v>
      </c>
      <c r="C101" s="16" t="s">
        <v>934</v>
      </c>
      <c r="D101" s="27" t="s">
        <v>67</v>
      </c>
      <c r="E101" s="14" t="s">
        <v>935</v>
      </c>
      <c r="F101" s="14" t="s">
        <v>936</v>
      </c>
      <c r="G101" s="14" t="s">
        <v>937</v>
      </c>
      <c r="H101" s="14" t="s">
        <v>113</v>
      </c>
      <c r="I101" s="14" t="s">
        <v>84</v>
      </c>
      <c r="J101" s="18" t="s">
        <v>90</v>
      </c>
      <c r="K101" s="14" t="s">
        <v>97</v>
      </c>
      <c r="L101" s="14" t="s">
        <v>252</v>
      </c>
      <c r="M101" s="14" t="s">
        <v>938</v>
      </c>
      <c r="N101" s="14" t="s">
        <v>939</v>
      </c>
      <c r="O101" s="19" t="s">
        <v>255</v>
      </c>
      <c r="P101" s="20" t="s">
        <v>145</v>
      </c>
      <c r="Q101" s="14" t="s">
        <v>146</v>
      </c>
      <c r="R101" s="14" t="s">
        <v>146</v>
      </c>
      <c r="S101" s="14" t="s">
        <v>940</v>
      </c>
      <c r="T101" s="14" t="s">
        <v>878</v>
      </c>
      <c r="U101" s="14" t="s">
        <v>146</v>
      </c>
    </row>
    <row r="102" ht="72" customHeight="1" spans="1:21" s="14" customFormat="1" x14ac:dyDescent="0.25">
      <c r="A102" s="14">
        <v>101</v>
      </c>
      <c r="B102" s="15" t="s">
        <v>136</v>
      </c>
      <c r="C102" s="16" t="s">
        <v>941</v>
      </c>
      <c r="D102" s="27" t="s">
        <v>67</v>
      </c>
      <c r="E102" s="14" t="s">
        <v>942</v>
      </c>
      <c r="F102" s="14" t="s">
        <v>943</v>
      </c>
      <c r="G102" s="14" t="s">
        <v>944</v>
      </c>
      <c r="H102" s="14" t="s">
        <v>113</v>
      </c>
      <c r="I102" s="14" t="s">
        <v>84</v>
      </c>
      <c r="J102" s="18" t="s">
        <v>90</v>
      </c>
      <c r="K102" s="14" t="s">
        <v>97</v>
      </c>
      <c r="L102" s="14" t="s">
        <v>252</v>
      </c>
      <c r="M102" s="14" t="s">
        <v>945</v>
      </c>
      <c r="N102" s="14" t="s">
        <v>946</v>
      </c>
      <c r="O102" s="19" t="s">
        <v>947</v>
      </c>
      <c r="P102" s="20" t="s">
        <v>145</v>
      </c>
      <c r="Q102" s="14" t="s">
        <v>146</v>
      </c>
      <c r="R102" s="14" t="s">
        <v>146</v>
      </c>
      <c r="S102" s="14" t="s">
        <v>948</v>
      </c>
      <c r="T102" s="14" t="s">
        <v>878</v>
      </c>
      <c r="U102" s="14" t="s">
        <v>146</v>
      </c>
    </row>
    <row r="103" ht="72" customHeight="1" spans="1:21" s="14" customFormat="1" x14ac:dyDescent="0.25">
      <c r="A103" s="14">
        <v>102</v>
      </c>
      <c r="B103" s="15" t="s">
        <v>136</v>
      </c>
      <c r="C103" s="16" t="s">
        <v>949</v>
      </c>
      <c r="D103" s="27" t="s">
        <v>67</v>
      </c>
      <c r="E103" s="14" t="s">
        <v>950</v>
      </c>
      <c r="F103" s="14" t="s">
        <v>951</v>
      </c>
      <c r="G103" s="14" t="s">
        <v>952</v>
      </c>
      <c r="H103" s="14" t="s">
        <v>111</v>
      </c>
      <c r="I103" s="14" t="s">
        <v>84</v>
      </c>
      <c r="J103" s="18" t="s">
        <v>90</v>
      </c>
      <c r="K103" s="14" t="s">
        <v>95</v>
      </c>
      <c r="L103" s="14" t="s">
        <v>953</v>
      </c>
      <c r="M103" s="14" t="s">
        <v>954</v>
      </c>
      <c r="N103" s="14" t="s">
        <v>955</v>
      </c>
      <c r="O103" s="19" t="s">
        <v>956</v>
      </c>
      <c r="P103" s="21" t="s">
        <v>136</v>
      </c>
      <c r="Q103" s="14" t="s">
        <v>146</v>
      </c>
      <c r="R103" s="14" t="s">
        <v>146</v>
      </c>
      <c r="S103" s="14" t="s">
        <v>957</v>
      </c>
      <c r="T103" s="14" t="s">
        <v>878</v>
      </c>
      <c r="U103" s="14" t="s">
        <v>146</v>
      </c>
    </row>
    <row r="104" ht="72" customHeight="1" spans="1:21" s="14" customFormat="1" x14ac:dyDescent="0.25">
      <c r="A104" s="14">
        <v>103</v>
      </c>
      <c r="B104" s="15" t="s">
        <v>136</v>
      </c>
      <c r="C104" s="16" t="s">
        <v>958</v>
      </c>
      <c r="D104" s="27" t="s">
        <v>67</v>
      </c>
      <c r="E104" s="14" t="s">
        <v>959</v>
      </c>
      <c r="F104" s="14" t="s">
        <v>960</v>
      </c>
      <c r="G104" s="14" t="s">
        <v>961</v>
      </c>
      <c r="H104" s="14" t="s">
        <v>111</v>
      </c>
      <c r="I104" s="14" t="s">
        <v>84</v>
      </c>
      <c r="J104" s="18" t="s">
        <v>90</v>
      </c>
      <c r="K104" s="14" t="s">
        <v>95</v>
      </c>
      <c r="L104" s="14" t="s">
        <v>962</v>
      </c>
      <c r="M104" s="14" t="s">
        <v>963</v>
      </c>
      <c r="N104" s="14" t="s">
        <v>964</v>
      </c>
      <c r="O104" s="19" t="s">
        <v>965</v>
      </c>
      <c r="P104" s="20" t="s">
        <v>145</v>
      </c>
      <c r="Q104" s="14" t="s">
        <v>146</v>
      </c>
      <c r="R104" s="14" t="s">
        <v>146</v>
      </c>
      <c r="S104" s="14" t="s">
        <v>966</v>
      </c>
      <c r="T104" s="14" t="s">
        <v>878</v>
      </c>
      <c r="U104" s="14" t="s">
        <v>146</v>
      </c>
    </row>
    <row r="105" ht="72" customHeight="1" spans="1:21" s="14" customFormat="1" x14ac:dyDescent="0.25">
      <c r="A105" s="14">
        <v>104</v>
      </c>
      <c r="B105" s="15" t="s">
        <v>136</v>
      </c>
      <c r="C105" s="16" t="s">
        <v>967</v>
      </c>
      <c r="D105" s="27" t="s">
        <v>67</v>
      </c>
      <c r="E105" s="14" t="s">
        <v>880</v>
      </c>
      <c r="F105" s="14" t="s">
        <v>968</v>
      </c>
      <c r="G105" s="14" t="s">
        <v>969</v>
      </c>
      <c r="H105" s="14" t="s">
        <v>113</v>
      </c>
      <c r="I105" s="14" t="s">
        <v>84</v>
      </c>
      <c r="J105" s="18" t="s">
        <v>90</v>
      </c>
      <c r="K105" s="14" t="s">
        <v>97</v>
      </c>
      <c r="L105" s="14" t="s">
        <v>962</v>
      </c>
      <c r="M105" s="14" t="s">
        <v>970</v>
      </c>
      <c r="N105" s="14" t="s">
        <v>971</v>
      </c>
      <c r="O105" s="19" t="s">
        <v>255</v>
      </c>
      <c r="P105" s="20" t="s">
        <v>145</v>
      </c>
      <c r="Q105" s="14" t="s">
        <v>146</v>
      </c>
      <c r="R105" s="14" t="s">
        <v>146</v>
      </c>
      <c r="S105" s="14" t="s">
        <v>972</v>
      </c>
      <c r="T105" s="14" t="s">
        <v>878</v>
      </c>
      <c r="U105" s="14" t="s">
        <v>146</v>
      </c>
    </row>
    <row r="106" ht="72" customHeight="1" spans="1:21" s="14" customFormat="1" x14ac:dyDescent="0.25">
      <c r="A106" s="14">
        <v>105</v>
      </c>
      <c r="B106" s="15" t="s">
        <v>136</v>
      </c>
      <c r="C106" s="16" t="s">
        <v>973</v>
      </c>
      <c r="D106" s="27" t="s">
        <v>67</v>
      </c>
      <c r="E106" s="14" t="s">
        <v>974</v>
      </c>
      <c r="F106" s="14" t="s">
        <v>975</v>
      </c>
      <c r="G106" s="14" t="s">
        <v>976</v>
      </c>
      <c r="H106" s="14" t="s">
        <v>113</v>
      </c>
      <c r="I106" s="22" t="s">
        <v>80</v>
      </c>
      <c r="J106" s="18" t="s">
        <v>90</v>
      </c>
      <c r="K106" s="14" t="s">
        <v>97</v>
      </c>
      <c r="L106" s="14" t="s">
        <v>962</v>
      </c>
      <c r="M106" s="14" t="s">
        <v>977</v>
      </c>
      <c r="N106" s="14" t="s">
        <v>978</v>
      </c>
      <c r="O106" s="19" t="s">
        <v>979</v>
      </c>
      <c r="P106" s="20" t="s">
        <v>145</v>
      </c>
      <c r="Q106" s="14" t="s">
        <v>146</v>
      </c>
      <c r="R106" s="14" t="s">
        <v>146</v>
      </c>
      <c r="S106" s="14" t="s">
        <v>980</v>
      </c>
      <c r="T106" s="14" t="s">
        <v>878</v>
      </c>
      <c r="U106" s="14" t="s">
        <v>146</v>
      </c>
    </row>
    <row r="107" ht="72" customHeight="1" spans="1:21" s="14" customFormat="1" x14ac:dyDescent="0.25">
      <c r="A107" s="14">
        <v>106</v>
      </c>
      <c r="B107" s="15" t="s">
        <v>136</v>
      </c>
      <c r="C107" s="16" t="s">
        <v>981</v>
      </c>
      <c r="D107" s="27" t="s">
        <v>67</v>
      </c>
      <c r="E107" s="14" t="s">
        <v>982</v>
      </c>
      <c r="F107" s="14" t="s">
        <v>983</v>
      </c>
      <c r="G107" s="14" t="s">
        <v>984</v>
      </c>
      <c r="H107" s="14" t="s">
        <v>111</v>
      </c>
      <c r="I107" s="14" t="s">
        <v>84</v>
      </c>
      <c r="J107" s="18" t="s">
        <v>90</v>
      </c>
      <c r="K107" s="14" t="s">
        <v>95</v>
      </c>
      <c r="L107" s="14" t="s">
        <v>962</v>
      </c>
      <c r="M107" s="14" t="s">
        <v>985</v>
      </c>
      <c r="N107" s="14" t="s">
        <v>986</v>
      </c>
      <c r="O107" s="19" t="s">
        <v>987</v>
      </c>
      <c r="P107" s="21" t="s">
        <v>136</v>
      </c>
      <c r="Q107" s="14" t="s">
        <v>146</v>
      </c>
      <c r="R107" s="14" t="s">
        <v>146</v>
      </c>
      <c r="S107" s="14" t="s">
        <v>988</v>
      </c>
      <c r="T107" s="14" t="s">
        <v>878</v>
      </c>
      <c r="U107" s="14" t="s">
        <v>146</v>
      </c>
    </row>
    <row r="108" ht="72" customHeight="1" spans="1:21" s="14" customFormat="1" x14ac:dyDescent="0.25">
      <c r="A108" s="14">
        <v>107</v>
      </c>
      <c r="B108" s="15" t="s">
        <v>136</v>
      </c>
      <c r="C108" s="16" t="s">
        <v>989</v>
      </c>
      <c r="D108" s="27" t="s">
        <v>67</v>
      </c>
      <c r="E108" s="14" t="s">
        <v>990</v>
      </c>
      <c r="F108" s="14" t="s">
        <v>991</v>
      </c>
      <c r="G108" s="14" t="s">
        <v>992</v>
      </c>
      <c r="H108" s="14" t="s">
        <v>111</v>
      </c>
      <c r="I108" s="14" t="s">
        <v>84</v>
      </c>
      <c r="J108" s="18" t="s">
        <v>90</v>
      </c>
      <c r="K108" s="14" t="s">
        <v>95</v>
      </c>
      <c r="L108" s="14" t="s">
        <v>993</v>
      </c>
      <c r="M108" s="14" t="s">
        <v>994</v>
      </c>
      <c r="N108" s="14" t="s">
        <v>995</v>
      </c>
      <c r="O108" s="19" t="s">
        <v>965</v>
      </c>
      <c r="P108" s="20" t="s">
        <v>145</v>
      </c>
      <c r="Q108" s="14" t="s">
        <v>146</v>
      </c>
      <c r="R108" s="14" t="s">
        <v>146</v>
      </c>
      <c r="S108" s="14" t="s">
        <v>996</v>
      </c>
      <c r="T108" s="14" t="s">
        <v>878</v>
      </c>
      <c r="U108" s="14" t="s">
        <v>146</v>
      </c>
    </row>
    <row r="109" ht="72" customHeight="1" spans="1:21" s="14" customFormat="1" x14ac:dyDescent="0.25">
      <c r="A109" s="14">
        <v>108</v>
      </c>
      <c r="B109" s="15" t="s">
        <v>136</v>
      </c>
      <c r="C109" s="16" t="s">
        <v>997</v>
      </c>
      <c r="D109" s="27" t="s">
        <v>67</v>
      </c>
      <c r="E109" s="14" t="s">
        <v>998</v>
      </c>
      <c r="F109" s="14" t="s">
        <v>999</v>
      </c>
      <c r="G109" s="14" t="s">
        <v>1000</v>
      </c>
      <c r="H109" s="14" t="s">
        <v>113</v>
      </c>
      <c r="I109" s="14" t="s">
        <v>84</v>
      </c>
      <c r="J109" s="18" t="s">
        <v>90</v>
      </c>
      <c r="K109" s="14" t="s">
        <v>97</v>
      </c>
      <c r="L109" s="14" t="s">
        <v>993</v>
      </c>
      <c r="M109" s="14" t="s">
        <v>1001</v>
      </c>
      <c r="N109" s="14" t="s">
        <v>1002</v>
      </c>
      <c r="O109" s="19" t="s">
        <v>1003</v>
      </c>
      <c r="P109" s="20" t="s">
        <v>145</v>
      </c>
      <c r="Q109" s="14" t="s">
        <v>146</v>
      </c>
      <c r="R109" s="14" t="s">
        <v>146</v>
      </c>
      <c r="S109" s="14" t="s">
        <v>1004</v>
      </c>
      <c r="T109" s="14" t="s">
        <v>878</v>
      </c>
      <c r="U109" s="14" t="s">
        <v>146</v>
      </c>
    </row>
    <row r="110" ht="72" customHeight="1" spans="1:21" s="14" customFormat="1" x14ac:dyDescent="0.25">
      <c r="A110" s="14">
        <v>109</v>
      </c>
      <c r="B110" s="15" t="s">
        <v>136</v>
      </c>
      <c r="C110" s="16" t="s">
        <v>1005</v>
      </c>
      <c r="D110" s="27" t="s">
        <v>67</v>
      </c>
      <c r="E110" s="14" t="s">
        <v>1006</v>
      </c>
      <c r="F110" s="14" t="s">
        <v>1007</v>
      </c>
      <c r="G110" s="14" t="s">
        <v>1008</v>
      </c>
      <c r="H110" s="14" t="s">
        <v>113</v>
      </c>
      <c r="I110" s="24" t="s">
        <v>26</v>
      </c>
      <c r="J110" s="18" t="s">
        <v>90</v>
      </c>
      <c r="K110" s="14" t="s">
        <v>97</v>
      </c>
      <c r="L110" s="14" t="s">
        <v>252</v>
      </c>
      <c r="M110" s="14" t="s">
        <v>1009</v>
      </c>
      <c r="N110" s="14" t="s">
        <v>1010</v>
      </c>
      <c r="O110" s="19" t="s">
        <v>1011</v>
      </c>
      <c r="P110" s="20" t="s">
        <v>145</v>
      </c>
      <c r="Q110" s="14" t="s">
        <v>684</v>
      </c>
      <c r="R110" s="14" t="s">
        <v>385</v>
      </c>
      <c r="S110" s="14" t="s">
        <v>1012</v>
      </c>
      <c r="T110" s="14" t="s">
        <v>878</v>
      </c>
      <c r="U110" s="14" t="s">
        <v>146</v>
      </c>
    </row>
    <row r="111" ht="72" customHeight="1" spans="1:21" s="14" customFormat="1" x14ac:dyDescent="0.25">
      <c r="A111" s="14">
        <v>110</v>
      </c>
      <c r="B111" s="15" t="s">
        <v>136</v>
      </c>
      <c r="C111" s="16" t="s">
        <v>1013</v>
      </c>
      <c r="D111" s="27" t="s">
        <v>67</v>
      </c>
      <c r="E111" s="14" t="s">
        <v>1014</v>
      </c>
      <c r="F111" s="14" t="s">
        <v>1015</v>
      </c>
      <c r="G111" s="14" t="s">
        <v>1016</v>
      </c>
      <c r="H111" s="14" t="s">
        <v>113</v>
      </c>
      <c r="I111" s="24" t="s">
        <v>26</v>
      </c>
      <c r="J111" s="18" t="s">
        <v>90</v>
      </c>
      <c r="K111" s="14" t="s">
        <v>97</v>
      </c>
      <c r="L111" s="14" t="s">
        <v>252</v>
      </c>
      <c r="M111" s="14" t="s">
        <v>1017</v>
      </c>
      <c r="N111" s="14" t="s">
        <v>1018</v>
      </c>
      <c r="O111" s="19" t="s">
        <v>443</v>
      </c>
      <c r="P111" s="20" t="s">
        <v>145</v>
      </c>
      <c r="Q111" s="14" t="s">
        <v>692</v>
      </c>
      <c r="R111" s="14" t="s">
        <v>385</v>
      </c>
      <c r="S111" s="14" t="s">
        <v>1019</v>
      </c>
      <c r="T111" s="14" t="s">
        <v>878</v>
      </c>
      <c r="U111" s="14" t="s">
        <v>146</v>
      </c>
    </row>
    <row r="112" ht="72" customHeight="1" spans="1:21" s="14" customFormat="1" x14ac:dyDescent="0.25">
      <c r="A112" s="14">
        <v>111</v>
      </c>
      <c r="B112" s="15" t="s">
        <v>136</v>
      </c>
      <c r="C112" s="16" t="s">
        <v>1020</v>
      </c>
      <c r="D112" s="27" t="s">
        <v>67</v>
      </c>
      <c r="E112" s="14" t="s">
        <v>1021</v>
      </c>
      <c r="F112" s="14" t="s">
        <v>1022</v>
      </c>
      <c r="G112" s="14" t="s">
        <v>1023</v>
      </c>
      <c r="H112" s="14" t="s">
        <v>113</v>
      </c>
      <c r="I112" s="24" t="s">
        <v>26</v>
      </c>
      <c r="J112" s="18" t="s">
        <v>90</v>
      </c>
      <c r="K112" s="14" t="s">
        <v>97</v>
      </c>
      <c r="L112" s="14" t="s">
        <v>252</v>
      </c>
      <c r="M112" s="14" t="s">
        <v>1024</v>
      </c>
      <c r="N112" s="14" t="s">
        <v>1025</v>
      </c>
      <c r="O112" s="19" t="s">
        <v>452</v>
      </c>
      <c r="P112" s="20" t="s">
        <v>145</v>
      </c>
      <c r="Q112" s="14" t="s">
        <v>701</v>
      </c>
      <c r="R112" s="14" t="s">
        <v>454</v>
      </c>
      <c r="S112" s="14" t="s">
        <v>1026</v>
      </c>
      <c r="T112" s="14" t="s">
        <v>878</v>
      </c>
      <c r="U112" s="14" t="s">
        <v>146</v>
      </c>
    </row>
    <row r="113" ht="72" customHeight="1" spans="1:21" s="14" customFormat="1" x14ac:dyDescent="0.25">
      <c r="A113" s="14">
        <v>112</v>
      </c>
      <c r="B113" s="15" t="s">
        <v>136</v>
      </c>
      <c r="C113" s="16" t="s">
        <v>1027</v>
      </c>
      <c r="D113" s="27" t="s">
        <v>67</v>
      </c>
      <c r="E113" s="14" t="s">
        <v>1028</v>
      </c>
      <c r="F113" s="14" t="s">
        <v>458</v>
      </c>
      <c r="G113" s="14" t="s">
        <v>1029</v>
      </c>
      <c r="H113" s="14" t="s">
        <v>113</v>
      </c>
      <c r="I113" s="24" t="s">
        <v>26</v>
      </c>
      <c r="J113" s="18" t="s">
        <v>90</v>
      </c>
      <c r="K113" s="14" t="s">
        <v>97</v>
      </c>
      <c r="L113" s="14" t="s">
        <v>252</v>
      </c>
      <c r="M113" s="14" t="s">
        <v>1030</v>
      </c>
      <c r="N113" s="14" t="s">
        <v>1031</v>
      </c>
      <c r="O113" s="19" t="s">
        <v>1032</v>
      </c>
      <c r="P113" s="20" t="s">
        <v>145</v>
      </c>
      <c r="Q113" s="14" t="s">
        <v>709</v>
      </c>
      <c r="R113" s="14" t="s">
        <v>464</v>
      </c>
      <c r="S113" s="14" t="s">
        <v>1033</v>
      </c>
      <c r="T113" s="14" t="s">
        <v>878</v>
      </c>
      <c r="U113" s="14" t="s">
        <v>146</v>
      </c>
    </row>
    <row r="114" ht="72" customHeight="1" spans="1:21" s="14" customFormat="1" x14ac:dyDescent="0.25">
      <c r="A114" s="14">
        <v>113</v>
      </c>
      <c r="B114" s="15" t="s">
        <v>136</v>
      </c>
      <c r="C114" s="16" t="s">
        <v>1034</v>
      </c>
      <c r="D114" s="27" t="s">
        <v>67</v>
      </c>
      <c r="E114" s="14" t="s">
        <v>1035</v>
      </c>
      <c r="F114" s="14" t="s">
        <v>1036</v>
      </c>
      <c r="G114" s="14" t="s">
        <v>1037</v>
      </c>
      <c r="H114" s="14" t="s">
        <v>113</v>
      </c>
      <c r="I114" s="24" t="s">
        <v>26</v>
      </c>
      <c r="J114" s="18" t="s">
        <v>90</v>
      </c>
      <c r="K114" s="14" t="s">
        <v>97</v>
      </c>
      <c r="L114" s="14" t="s">
        <v>252</v>
      </c>
      <c r="M114" s="14" t="s">
        <v>1038</v>
      </c>
      <c r="N114" s="14" t="s">
        <v>1039</v>
      </c>
      <c r="O114" s="19" t="s">
        <v>1040</v>
      </c>
      <c r="P114" s="20" t="s">
        <v>145</v>
      </c>
      <c r="Q114" s="14" t="s">
        <v>727</v>
      </c>
      <c r="R114" s="14" t="s">
        <v>475</v>
      </c>
      <c r="S114" s="14" t="s">
        <v>1041</v>
      </c>
      <c r="T114" s="14" t="s">
        <v>878</v>
      </c>
      <c r="U114" s="14" t="s">
        <v>146</v>
      </c>
    </row>
    <row r="115" ht="72" customHeight="1" spans="1:21" s="14" customFormat="1" x14ac:dyDescent="0.25">
      <c r="A115" s="14">
        <v>114</v>
      </c>
      <c r="B115" s="15" t="s">
        <v>136</v>
      </c>
      <c r="C115" s="16" t="s">
        <v>1042</v>
      </c>
      <c r="D115" s="27" t="s">
        <v>67</v>
      </c>
      <c r="E115" s="14" t="s">
        <v>1043</v>
      </c>
      <c r="F115" s="14" t="s">
        <v>1044</v>
      </c>
      <c r="G115" s="14" t="s">
        <v>1045</v>
      </c>
      <c r="H115" s="14" t="s">
        <v>113</v>
      </c>
      <c r="I115" s="24" t="s">
        <v>26</v>
      </c>
      <c r="J115" s="18" t="s">
        <v>90</v>
      </c>
      <c r="K115" s="14" t="s">
        <v>95</v>
      </c>
      <c r="L115" s="14" t="s">
        <v>252</v>
      </c>
      <c r="M115" s="14" t="s">
        <v>1046</v>
      </c>
      <c r="N115" s="14" t="s">
        <v>1047</v>
      </c>
      <c r="O115" s="19" t="s">
        <v>1048</v>
      </c>
      <c r="P115" s="20" t="s">
        <v>145</v>
      </c>
      <c r="Q115" s="14" t="s">
        <v>485</v>
      </c>
      <c r="R115" s="14" t="s">
        <v>486</v>
      </c>
      <c r="S115" s="14" t="s">
        <v>1049</v>
      </c>
      <c r="T115" s="14" t="s">
        <v>878</v>
      </c>
      <c r="U115" s="14" t="s">
        <v>146</v>
      </c>
    </row>
    <row r="116" ht="72" customHeight="1" spans="1:21" s="14" customFormat="1" x14ac:dyDescent="0.25">
      <c r="A116" s="14">
        <v>115</v>
      </c>
      <c r="B116" s="15" t="s">
        <v>136</v>
      </c>
      <c r="C116" s="16" t="s">
        <v>1050</v>
      </c>
      <c r="D116" s="27" t="s">
        <v>67</v>
      </c>
      <c r="E116" s="14" t="s">
        <v>1051</v>
      </c>
      <c r="F116" s="14" t="s">
        <v>1052</v>
      </c>
      <c r="G116" s="14" t="s">
        <v>1053</v>
      </c>
      <c r="H116" s="14" t="s">
        <v>113</v>
      </c>
      <c r="I116" s="22" t="s">
        <v>86</v>
      </c>
      <c r="J116" s="18" t="s">
        <v>90</v>
      </c>
      <c r="K116" s="14" t="s">
        <v>97</v>
      </c>
      <c r="L116" s="14" t="s">
        <v>993</v>
      </c>
      <c r="M116" s="14" t="s">
        <v>1054</v>
      </c>
      <c r="N116" s="14" t="s">
        <v>1055</v>
      </c>
      <c r="O116" s="19" t="s">
        <v>495</v>
      </c>
      <c r="P116" s="20" t="s">
        <v>145</v>
      </c>
      <c r="Q116" s="14" t="s">
        <v>146</v>
      </c>
      <c r="R116" s="14" t="s">
        <v>146</v>
      </c>
      <c r="S116" s="14" t="s">
        <v>1056</v>
      </c>
      <c r="T116" s="14" t="s">
        <v>878</v>
      </c>
      <c r="U116" s="14" t="s">
        <v>146</v>
      </c>
    </row>
    <row r="117" ht="72" customHeight="1" spans="1:21" s="14" customFormat="1" x14ac:dyDescent="0.25">
      <c r="A117" s="14">
        <v>116</v>
      </c>
      <c r="B117" s="15" t="s">
        <v>136</v>
      </c>
      <c r="C117" s="16" t="s">
        <v>1057</v>
      </c>
      <c r="D117" s="23" t="s">
        <v>71</v>
      </c>
      <c r="E117" s="14" t="s">
        <v>1058</v>
      </c>
      <c r="F117" s="14" t="s">
        <v>1059</v>
      </c>
      <c r="G117" s="14" t="s">
        <v>1060</v>
      </c>
      <c r="H117" s="14" t="s">
        <v>113</v>
      </c>
      <c r="I117" s="14" t="s">
        <v>84</v>
      </c>
      <c r="J117" s="18" t="s">
        <v>90</v>
      </c>
      <c r="K117" s="14" t="s">
        <v>97</v>
      </c>
      <c r="L117" s="14" t="s">
        <v>252</v>
      </c>
      <c r="M117" s="14" t="s">
        <v>1061</v>
      </c>
      <c r="N117" s="14" t="s">
        <v>1062</v>
      </c>
      <c r="O117" s="19" t="s">
        <v>1063</v>
      </c>
      <c r="P117" s="20" t="s">
        <v>145</v>
      </c>
      <c r="Q117" s="14" t="s">
        <v>146</v>
      </c>
      <c r="R117" s="14" t="s">
        <v>146</v>
      </c>
      <c r="S117" s="14" t="s">
        <v>1064</v>
      </c>
      <c r="T117" s="14" t="s">
        <v>1065</v>
      </c>
      <c r="U117" s="14" t="s">
        <v>146</v>
      </c>
    </row>
    <row r="118" ht="72" customHeight="1" spans="1:21" s="14" customFormat="1" x14ac:dyDescent="0.25">
      <c r="A118" s="14">
        <v>117</v>
      </c>
      <c r="B118" s="15" t="s">
        <v>136</v>
      </c>
      <c r="C118" s="16" t="s">
        <v>1066</v>
      </c>
      <c r="D118" s="23" t="s">
        <v>71</v>
      </c>
      <c r="E118" s="14" t="s">
        <v>1067</v>
      </c>
      <c r="F118" s="14" t="s">
        <v>1068</v>
      </c>
      <c r="G118" s="14" t="s">
        <v>1069</v>
      </c>
      <c r="H118" s="14" t="s">
        <v>113</v>
      </c>
      <c r="I118" s="14" t="s">
        <v>84</v>
      </c>
      <c r="J118" s="18" t="s">
        <v>90</v>
      </c>
      <c r="K118" s="14" t="s">
        <v>97</v>
      </c>
      <c r="L118" s="14" t="s">
        <v>1070</v>
      </c>
      <c r="M118" s="14" t="s">
        <v>1071</v>
      </c>
      <c r="N118" s="14" t="s">
        <v>1072</v>
      </c>
      <c r="O118" s="19" t="s">
        <v>255</v>
      </c>
      <c r="P118" s="20" t="s">
        <v>145</v>
      </c>
      <c r="Q118" s="14" t="s">
        <v>146</v>
      </c>
      <c r="R118" s="14" t="s">
        <v>146</v>
      </c>
      <c r="S118" s="14" t="s">
        <v>1073</v>
      </c>
      <c r="T118" s="14" t="s">
        <v>1065</v>
      </c>
      <c r="U118" s="14" t="s">
        <v>146</v>
      </c>
    </row>
    <row r="119" ht="72" customHeight="1" spans="1:21" s="14" customFormat="1" x14ac:dyDescent="0.25">
      <c r="A119" s="14">
        <v>118</v>
      </c>
      <c r="B119" s="15" t="s">
        <v>136</v>
      </c>
      <c r="C119" s="16" t="s">
        <v>1074</v>
      </c>
      <c r="D119" s="23" t="s">
        <v>71</v>
      </c>
      <c r="E119" s="14" t="s">
        <v>1075</v>
      </c>
      <c r="F119" s="14" t="s">
        <v>1076</v>
      </c>
      <c r="G119" s="14" t="s">
        <v>1077</v>
      </c>
      <c r="H119" s="14" t="s">
        <v>113</v>
      </c>
      <c r="I119" s="14" t="s">
        <v>84</v>
      </c>
      <c r="J119" s="18" t="s">
        <v>90</v>
      </c>
      <c r="K119" s="14" t="s">
        <v>97</v>
      </c>
      <c r="L119" s="14" t="s">
        <v>252</v>
      </c>
      <c r="M119" s="14" t="s">
        <v>1078</v>
      </c>
      <c r="N119" s="14" t="s">
        <v>1079</v>
      </c>
      <c r="O119" s="19" t="s">
        <v>1080</v>
      </c>
      <c r="P119" s="20" t="s">
        <v>145</v>
      </c>
      <c r="Q119" s="14" t="s">
        <v>146</v>
      </c>
      <c r="R119" s="14" t="s">
        <v>146</v>
      </c>
      <c r="S119" s="14" t="s">
        <v>1081</v>
      </c>
      <c r="T119" s="14" t="s">
        <v>1065</v>
      </c>
      <c r="U119" s="14" t="s">
        <v>146</v>
      </c>
    </row>
    <row r="120" ht="72" customHeight="1" spans="1:21" s="14" customFormat="1" x14ac:dyDescent="0.25">
      <c r="A120" s="14">
        <v>119</v>
      </c>
      <c r="B120" s="15" t="s">
        <v>136</v>
      </c>
      <c r="C120" s="16" t="s">
        <v>1082</v>
      </c>
      <c r="D120" s="23" t="s">
        <v>71</v>
      </c>
      <c r="E120" s="14" t="s">
        <v>1083</v>
      </c>
      <c r="F120" s="14" t="s">
        <v>1084</v>
      </c>
      <c r="G120" s="14" t="s">
        <v>1085</v>
      </c>
      <c r="H120" s="14" t="s">
        <v>113</v>
      </c>
      <c r="I120" s="24" t="s">
        <v>82</v>
      </c>
      <c r="J120" s="18" t="s">
        <v>90</v>
      </c>
      <c r="K120" s="14" t="s">
        <v>95</v>
      </c>
      <c r="L120" s="14" t="s">
        <v>252</v>
      </c>
      <c r="M120" s="14" t="s">
        <v>1086</v>
      </c>
      <c r="N120" s="14" t="s">
        <v>1087</v>
      </c>
      <c r="O120" s="19" t="s">
        <v>1088</v>
      </c>
      <c r="P120" s="20" t="s">
        <v>145</v>
      </c>
      <c r="Q120" s="14" t="s">
        <v>917</v>
      </c>
      <c r="R120" s="14" t="s">
        <v>537</v>
      </c>
      <c r="S120" s="14" t="s">
        <v>1089</v>
      </c>
      <c r="T120" s="14" t="s">
        <v>1065</v>
      </c>
      <c r="U120" s="14" t="s">
        <v>146</v>
      </c>
    </row>
    <row r="121" ht="72" customHeight="1" spans="1:21" s="14" customFormat="1" x14ac:dyDescent="0.25">
      <c r="A121" s="14">
        <v>120</v>
      </c>
      <c r="B121" s="15" t="s">
        <v>136</v>
      </c>
      <c r="C121" s="16" t="s">
        <v>1090</v>
      </c>
      <c r="D121" s="23" t="s">
        <v>71</v>
      </c>
      <c r="E121" s="14" t="s">
        <v>1091</v>
      </c>
      <c r="F121" s="14" t="s">
        <v>1092</v>
      </c>
      <c r="G121" s="14" t="s">
        <v>1093</v>
      </c>
      <c r="H121" s="14" t="s">
        <v>115</v>
      </c>
      <c r="I121" s="14" t="s">
        <v>84</v>
      </c>
      <c r="J121" s="18" t="s">
        <v>90</v>
      </c>
      <c r="K121" s="14" t="s">
        <v>95</v>
      </c>
      <c r="L121" s="14" t="s">
        <v>1094</v>
      </c>
      <c r="M121" s="14" t="s">
        <v>1095</v>
      </c>
      <c r="N121" s="14" t="s">
        <v>1096</v>
      </c>
      <c r="O121" s="19" t="s">
        <v>1097</v>
      </c>
      <c r="P121" s="20" t="s">
        <v>145</v>
      </c>
      <c r="Q121" s="14" t="s">
        <v>146</v>
      </c>
      <c r="R121" s="14" t="s">
        <v>146</v>
      </c>
      <c r="S121" s="14" t="s">
        <v>1098</v>
      </c>
      <c r="T121" s="14" t="s">
        <v>1065</v>
      </c>
      <c r="U121" s="14" t="s">
        <v>146</v>
      </c>
    </row>
    <row r="122" ht="72" customHeight="1" spans="1:21" s="14" customFormat="1" x14ac:dyDescent="0.25">
      <c r="A122" s="14">
        <v>121</v>
      </c>
      <c r="B122" s="15" t="s">
        <v>136</v>
      </c>
      <c r="C122" s="16" t="s">
        <v>1099</v>
      </c>
      <c r="D122" s="23" t="s">
        <v>71</v>
      </c>
      <c r="E122" s="14" t="s">
        <v>1100</v>
      </c>
      <c r="F122" s="14" t="s">
        <v>1101</v>
      </c>
      <c r="G122" s="14" t="s">
        <v>1102</v>
      </c>
      <c r="H122" s="14" t="s">
        <v>113</v>
      </c>
      <c r="I122" s="14" t="s">
        <v>84</v>
      </c>
      <c r="J122" s="18" t="s">
        <v>90</v>
      </c>
      <c r="K122" s="14" t="s">
        <v>97</v>
      </c>
      <c r="L122" s="14" t="s">
        <v>252</v>
      </c>
      <c r="M122" s="14" t="s">
        <v>1103</v>
      </c>
      <c r="N122" s="14" t="s">
        <v>1104</v>
      </c>
      <c r="O122" s="19" t="s">
        <v>1105</v>
      </c>
      <c r="P122" s="20" t="s">
        <v>145</v>
      </c>
      <c r="Q122" s="14" t="s">
        <v>146</v>
      </c>
      <c r="R122" s="14" t="s">
        <v>146</v>
      </c>
      <c r="S122" s="14" t="s">
        <v>1106</v>
      </c>
      <c r="T122" s="14" t="s">
        <v>1065</v>
      </c>
      <c r="U122" s="14" t="s">
        <v>146</v>
      </c>
    </row>
    <row r="123" ht="72" customHeight="1" spans="1:21" s="14" customFormat="1" x14ac:dyDescent="0.25">
      <c r="A123" s="14">
        <v>122</v>
      </c>
      <c r="B123" s="15" t="s">
        <v>136</v>
      </c>
      <c r="C123" s="16" t="s">
        <v>1107</v>
      </c>
      <c r="D123" s="23" t="s">
        <v>71</v>
      </c>
      <c r="E123" s="14" t="s">
        <v>1108</v>
      </c>
      <c r="F123" s="14" t="s">
        <v>1109</v>
      </c>
      <c r="G123" s="14" t="s">
        <v>1110</v>
      </c>
      <c r="H123" s="14" t="s">
        <v>113</v>
      </c>
      <c r="I123" s="22" t="s">
        <v>80</v>
      </c>
      <c r="J123" s="18" t="s">
        <v>90</v>
      </c>
      <c r="K123" s="14" t="s">
        <v>97</v>
      </c>
      <c r="L123" s="14" t="s">
        <v>252</v>
      </c>
      <c r="M123" s="14" t="s">
        <v>1111</v>
      </c>
      <c r="N123" s="14" t="s">
        <v>1112</v>
      </c>
      <c r="O123" s="19" t="s">
        <v>1113</v>
      </c>
      <c r="P123" s="20" t="s">
        <v>145</v>
      </c>
      <c r="Q123" s="14" t="s">
        <v>146</v>
      </c>
      <c r="R123" s="14" t="s">
        <v>146</v>
      </c>
      <c r="S123" s="14" t="s">
        <v>1114</v>
      </c>
      <c r="T123" s="14" t="s">
        <v>1065</v>
      </c>
      <c r="U123" s="14" t="s">
        <v>146</v>
      </c>
    </row>
    <row r="124" ht="72" customHeight="1" spans="1:21" s="14" customFormat="1" x14ac:dyDescent="0.25">
      <c r="A124" s="14">
        <v>123</v>
      </c>
      <c r="B124" s="15" t="s">
        <v>136</v>
      </c>
      <c r="C124" s="16" t="s">
        <v>1115</v>
      </c>
      <c r="D124" s="23" t="s">
        <v>71</v>
      </c>
      <c r="E124" s="14" t="s">
        <v>1116</v>
      </c>
      <c r="F124" s="14" t="s">
        <v>1117</v>
      </c>
      <c r="G124" s="14" t="s">
        <v>1118</v>
      </c>
      <c r="H124" s="14" t="s">
        <v>115</v>
      </c>
      <c r="I124" s="14" t="s">
        <v>84</v>
      </c>
      <c r="J124" s="18" t="s">
        <v>90</v>
      </c>
      <c r="K124" s="14" t="s">
        <v>97</v>
      </c>
      <c r="L124" s="14" t="s">
        <v>1119</v>
      </c>
      <c r="M124" s="14" t="s">
        <v>1120</v>
      </c>
      <c r="N124" s="14" t="s">
        <v>1121</v>
      </c>
      <c r="O124" s="19" t="s">
        <v>1122</v>
      </c>
      <c r="P124" s="20" t="s">
        <v>145</v>
      </c>
      <c r="Q124" s="14" t="s">
        <v>146</v>
      </c>
      <c r="R124" s="14" t="s">
        <v>146</v>
      </c>
      <c r="S124" s="14" t="s">
        <v>1123</v>
      </c>
      <c r="T124" s="14" t="s">
        <v>1065</v>
      </c>
      <c r="U124" s="14" t="s">
        <v>146</v>
      </c>
    </row>
    <row r="125" ht="72" customHeight="1" spans="1:21" s="14" customFormat="1" x14ac:dyDescent="0.25">
      <c r="A125" s="14">
        <v>124</v>
      </c>
      <c r="B125" s="15" t="s">
        <v>136</v>
      </c>
      <c r="C125" s="16" t="s">
        <v>1124</v>
      </c>
      <c r="D125" s="23" t="s">
        <v>71</v>
      </c>
      <c r="E125" s="14" t="s">
        <v>1125</v>
      </c>
      <c r="F125" s="14" t="s">
        <v>1126</v>
      </c>
      <c r="G125" s="14" t="s">
        <v>1127</v>
      </c>
      <c r="H125" s="14" t="s">
        <v>115</v>
      </c>
      <c r="I125" s="14" t="s">
        <v>84</v>
      </c>
      <c r="J125" s="18" t="s">
        <v>90</v>
      </c>
      <c r="K125" s="14" t="s">
        <v>95</v>
      </c>
      <c r="L125" s="14" t="s">
        <v>1128</v>
      </c>
      <c r="M125" s="14" t="s">
        <v>1129</v>
      </c>
      <c r="N125" s="14" t="s">
        <v>1130</v>
      </c>
      <c r="O125" s="19" t="s">
        <v>1131</v>
      </c>
      <c r="P125" s="20" t="s">
        <v>145</v>
      </c>
      <c r="Q125" s="14" t="s">
        <v>146</v>
      </c>
      <c r="R125" s="14" t="s">
        <v>146</v>
      </c>
      <c r="S125" s="14" t="s">
        <v>1132</v>
      </c>
      <c r="T125" s="14" t="s">
        <v>1065</v>
      </c>
      <c r="U125" s="14" t="s">
        <v>146</v>
      </c>
    </row>
    <row r="126" ht="72" customHeight="1" spans="1:21" s="14" customFormat="1" x14ac:dyDescent="0.25">
      <c r="A126" s="14">
        <v>125</v>
      </c>
      <c r="B126" s="15" t="s">
        <v>136</v>
      </c>
      <c r="C126" s="16" t="s">
        <v>1133</v>
      </c>
      <c r="D126" s="23" t="s">
        <v>71</v>
      </c>
      <c r="E126" s="14" t="s">
        <v>1134</v>
      </c>
      <c r="F126" s="14" t="s">
        <v>1135</v>
      </c>
      <c r="G126" s="14" t="s">
        <v>1136</v>
      </c>
      <c r="H126" s="14" t="s">
        <v>113</v>
      </c>
      <c r="I126" s="22" t="s">
        <v>80</v>
      </c>
      <c r="J126" s="18" t="s">
        <v>90</v>
      </c>
      <c r="K126" s="14" t="s">
        <v>97</v>
      </c>
      <c r="L126" s="14" t="s">
        <v>252</v>
      </c>
      <c r="M126" s="14" t="s">
        <v>1137</v>
      </c>
      <c r="N126" s="14" t="s">
        <v>1138</v>
      </c>
      <c r="O126" s="19" t="s">
        <v>1139</v>
      </c>
      <c r="P126" s="20" t="s">
        <v>145</v>
      </c>
      <c r="Q126" s="14" t="s">
        <v>146</v>
      </c>
      <c r="R126" s="14" t="s">
        <v>146</v>
      </c>
      <c r="S126" s="14" t="s">
        <v>1140</v>
      </c>
      <c r="T126" s="14" t="s">
        <v>1065</v>
      </c>
      <c r="U126" s="14" t="s">
        <v>146</v>
      </c>
    </row>
    <row r="127" ht="72" customHeight="1" spans="1:21" s="14" customFormat="1" x14ac:dyDescent="0.25">
      <c r="A127" s="14">
        <v>126</v>
      </c>
      <c r="B127" s="15" t="s">
        <v>136</v>
      </c>
      <c r="C127" s="16" t="s">
        <v>1141</v>
      </c>
      <c r="D127" s="23" t="s">
        <v>71</v>
      </c>
      <c r="E127" s="14" t="s">
        <v>1142</v>
      </c>
      <c r="F127" s="14" t="s">
        <v>1143</v>
      </c>
      <c r="G127" s="14" t="s">
        <v>1144</v>
      </c>
      <c r="H127" s="14" t="s">
        <v>113</v>
      </c>
      <c r="I127" s="14" t="s">
        <v>84</v>
      </c>
      <c r="J127" s="18" t="s">
        <v>90</v>
      </c>
      <c r="K127" s="14" t="s">
        <v>97</v>
      </c>
      <c r="L127" s="14" t="s">
        <v>252</v>
      </c>
      <c r="M127" s="14" t="s">
        <v>1145</v>
      </c>
      <c r="N127" s="14" t="s">
        <v>1146</v>
      </c>
      <c r="O127" s="19" t="s">
        <v>1147</v>
      </c>
      <c r="P127" s="20" t="s">
        <v>145</v>
      </c>
      <c r="Q127" s="14" t="s">
        <v>146</v>
      </c>
      <c r="R127" s="14" t="s">
        <v>146</v>
      </c>
      <c r="S127" s="14" t="s">
        <v>1148</v>
      </c>
      <c r="T127" s="14" t="s">
        <v>1065</v>
      </c>
      <c r="U127" s="14" t="s">
        <v>146</v>
      </c>
    </row>
    <row r="128" ht="72" customHeight="1" spans="1:21" s="14" customFormat="1" x14ac:dyDescent="0.25">
      <c r="A128" s="14">
        <v>127</v>
      </c>
      <c r="B128" s="15" t="s">
        <v>136</v>
      </c>
      <c r="C128" s="16" t="s">
        <v>1149</v>
      </c>
      <c r="D128" s="23" t="s">
        <v>71</v>
      </c>
      <c r="E128" s="14" t="s">
        <v>1150</v>
      </c>
      <c r="F128" s="14" t="s">
        <v>1151</v>
      </c>
      <c r="G128" s="14" t="s">
        <v>1152</v>
      </c>
      <c r="H128" s="14" t="s">
        <v>113</v>
      </c>
      <c r="I128" s="14" t="s">
        <v>84</v>
      </c>
      <c r="J128" s="18" t="s">
        <v>90</v>
      </c>
      <c r="K128" s="14" t="s">
        <v>97</v>
      </c>
      <c r="L128" s="14" t="s">
        <v>252</v>
      </c>
      <c r="M128" s="14" t="s">
        <v>1153</v>
      </c>
      <c r="N128" s="14" t="s">
        <v>1154</v>
      </c>
      <c r="O128" s="19" t="s">
        <v>1155</v>
      </c>
      <c r="P128" s="20" t="s">
        <v>145</v>
      </c>
      <c r="Q128" s="14" t="s">
        <v>146</v>
      </c>
      <c r="R128" s="14" t="s">
        <v>146</v>
      </c>
      <c r="S128" s="14" t="s">
        <v>1156</v>
      </c>
      <c r="T128" s="14" t="s">
        <v>1065</v>
      </c>
      <c r="U128" s="14" t="s">
        <v>146</v>
      </c>
    </row>
    <row r="129" ht="72" customHeight="1" spans="1:21" s="14" customFormat="1" x14ac:dyDescent="0.25">
      <c r="A129" s="14">
        <v>128</v>
      </c>
      <c r="B129" s="15" t="s">
        <v>136</v>
      </c>
      <c r="C129" s="16" t="s">
        <v>1157</v>
      </c>
      <c r="D129" s="23" t="s">
        <v>71</v>
      </c>
      <c r="E129" s="14" t="s">
        <v>1158</v>
      </c>
      <c r="F129" s="14" t="s">
        <v>1159</v>
      </c>
      <c r="G129" s="14" t="s">
        <v>1160</v>
      </c>
      <c r="H129" s="14" t="s">
        <v>113</v>
      </c>
      <c r="I129" s="22" t="s">
        <v>86</v>
      </c>
      <c r="J129" s="18" t="s">
        <v>90</v>
      </c>
      <c r="K129" s="14" t="s">
        <v>97</v>
      </c>
      <c r="L129" s="14" t="s">
        <v>252</v>
      </c>
      <c r="M129" s="14" t="s">
        <v>1161</v>
      </c>
      <c r="N129" s="14" t="s">
        <v>1162</v>
      </c>
      <c r="O129" s="19" t="s">
        <v>1163</v>
      </c>
      <c r="P129" s="20" t="s">
        <v>145</v>
      </c>
      <c r="Q129" s="14" t="s">
        <v>146</v>
      </c>
      <c r="R129" s="14" t="s">
        <v>146</v>
      </c>
      <c r="S129" s="14" t="s">
        <v>1164</v>
      </c>
      <c r="T129" s="14" t="s">
        <v>1065</v>
      </c>
      <c r="U129" s="14" t="s">
        <v>146</v>
      </c>
    </row>
    <row r="130" ht="72" customHeight="1" spans="1:21" s="14" customFormat="1" x14ac:dyDescent="0.25">
      <c r="A130" s="14">
        <v>129</v>
      </c>
      <c r="B130" s="15" t="s">
        <v>136</v>
      </c>
      <c r="C130" s="16" t="s">
        <v>1165</v>
      </c>
      <c r="D130" s="23" t="s">
        <v>71</v>
      </c>
      <c r="E130" s="14" t="s">
        <v>1166</v>
      </c>
      <c r="F130" s="14" t="s">
        <v>1167</v>
      </c>
      <c r="G130" s="14" t="s">
        <v>1168</v>
      </c>
      <c r="H130" s="14" t="s">
        <v>113</v>
      </c>
      <c r="I130" s="24" t="s">
        <v>26</v>
      </c>
      <c r="J130" s="18" t="s">
        <v>90</v>
      </c>
      <c r="K130" s="14" t="s">
        <v>97</v>
      </c>
      <c r="L130" s="14" t="s">
        <v>252</v>
      </c>
      <c r="M130" s="14" t="s">
        <v>1169</v>
      </c>
      <c r="N130" s="14" t="s">
        <v>1170</v>
      </c>
      <c r="O130" s="19" t="s">
        <v>1011</v>
      </c>
      <c r="P130" s="20" t="s">
        <v>145</v>
      </c>
      <c r="Q130" s="14" t="s">
        <v>684</v>
      </c>
      <c r="R130" s="14" t="s">
        <v>385</v>
      </c>
      <c r="S130" s="14" t="s">
        <v>1171</v>
      </c>
      <c r="T130" s="14" t="s">
        <v>1065</v>
      </c>
      <c r="U130" s="14" t="s">
        <v>146</v>
      </c>
    </row>
    <row r="131" ht="72" customHeight="1" spans="1:21" s="14" customFormat="1" x14ac:dyDescent="0.25">
      <c r="A131" s="14">
        <v>130</v>
      </c>
      <c r="B131" s="15" t="s">
        <v>136</v>
      </c>
      <c r="C131" s="16" t="s">
        <v>1172</v>
      </c>
      <c r="D131" s="23" t="s">
        <v>71</v>
      </c>
      <c r="E131" s="14" t="s">
        <v>1173</v>
      </c>
      <c r="F131" s="14" t="s">
        <v>1174</v>
      </c>
      <c r="G131" s="14" t="s">
        <v>1175</v>
      </c>
      <c r="H131" s="14" t="s">
        <v>113</v>
      </c>
      <c r="I131" s="22" t="s">
        <v>80</v>
      </c>
      <c r="J131" s="18" t="s">
        <v>90</v>
      </c>
      <c r="K131" s="14" t="s">
        <v>95</v>
      </c>
      <c r="L131" s="14" t="s">
        <v>252</v>
      </c>
      <c r="M131" s="14" t="s">
        <v>1176</v>
      </c>
      <c r="N131" s="14" t="s">
        <v>1177</v>
      </c>
      <c r="O131" s="19" t="s">
        <v>1178</v>
      </c>
      <c r="P131" s="20" t="s">
        <v>145</v>
      </c>
      <c r="Q131" s="14" t="s">
        <v>146</v>
      </c>
      <c r="R131" s="14" t="s">
        <v>146</v>
      </c>
      <c r="S131" s="14" t="s">
        <v>1179</v>
      </c>
      <c r="T131" s="14" t="s">
        <v>1065</v>
      </c>
      <c r="U131" s="14" t="s">
        <v>146</v>
      </c>
    </row>
    <row r="132" ht="72" customHeight="1" spans="1:21" s="14" customFormat="1" x14ac:dyDescent="0.25">
      <c r="A132" s="14">
        <v>131</v>
      </c>
      <c r="B132" s="15" t="s">
        <v>136</v>
      </c>
      <c r="C132" s="16" t="s">
        <v>1180</v>
      </c>
      <c r="D132" s="23" t="s">
        <v>71</v>
      </c>
      <c r="E132" s="14" t="s">
        <v>1181</v>
      </c>
      <c r="F132" s="14" t="s">
        <v>1182</v>
      </c>
      <c r="G132" s="14" t="s">
        <v>1183</v>
      </c>
      <c r="H132" s="14" t="s">
        <v>111</v>
      </c>
      <c r="I132" s="14" t="s">
        <v>84</v>
      </c>
      <c r="J132" s="18" t="s">
        <v>90</v>
      </c>
      <c r="K132" s="14" t="s">
        <v>95</v>
      </c>
      <c r="L132" s="14" t="s">
        <v>1184</v>
      </c>
      <c r="M132" s="14" t="s">
        <v>1185</v>
      </c>
      <c r="N132" s="14" t="s">
        <v>1186</v>
      </c>
      <c r="O132" s="19" t="s">
        <v>1187</v>
      </c>
      <c r="P132" s="21" t="s">
        <v>136</v>
      </c>
      <c r="Q132" s="14" t="s">
        <v>146</v>
      </c>
      <c r="R132" s="14" t="s">
        <v>146</v>
      </c>
      <c r="S132" s="14" t="s">
        <v>1188</v>
      </c>
      <c r="T132" s="14" t="s">
        <v>1065</v>
      </c>
      <c r="U132" s="14" t="s">
        <v>146</v>
      </c>
    </row>
    <row r="133" ht="72" customHeight="1" spans="1:21" s="14" customFormat="1" x14ac:dyDescent="0.25">
      <c r="A133" s="14">
        <v>132</v>
      </c>
      <c r="B133" s="15" t="s">
        <v>136</v>
      </c>
      <c r="C133" s="16" t="s">
        <v>1189</v>
      </c>
      <c r="D133" s="23" t="s">
        <v>71</v>
      </c>
      <c r="E133" s="14" t="s">
        <v>1190</v>
      </c>
      <c r="F133" s="14" t="s">
        <v>1191</v>
      </c>
      <c r="G133" s="14" t="s">
        <v>1192</v>
      </c>
      <c r="H133" s="14" t="s">
        <v>111</v>
      </c>
      <c r="I133" s="14" t="s">
        <v>84</v>
      </c>
      <c r="J133" s="18" t="s">
        <v>90</v>
      </c>
      <c r="K133" s="14" t="s">
        <v>95</v>
      </c>
      <c r="L133" s="14" t="s">
        <v>1193</v>
      </c>
      <c r="M133" s="14" t="s">
        <v>1194</v>
      </c>
      <c r="N133" s="14" t="s">
        <v>1195</v>
      </c>
      <c r="O133" s="19" t="s">
        <v>1196</v>
      </c>
      <c r="P133" s="20" t="s">
        <v>145</v>
      </c>
      <c r="Q133" s="14" t="s">
        <v>146</v>
      </c>
      <c r="R133" s="14" t="s">
        <v>146</v>
      </c>
      <c r="S133" s="14" t="s">
        <v>1197</v>
      </c>
      <c r="T133" s="14" t="s">
        <v>1065</v>
      </c>
      <c r="U133" s="14" t="s">
        <v>146</v>
      </c>
    </row>
    <row r="134" ht="72" customHeight="1" spans="1:21" s="14" customFormat="1" x14ac:dyDescent="0.25">
      <c r="A134" s="14">
        <v>133</v>
      </c>
      <c r="B134" s="15" t="s">
        <v>136</v>
      </c>
      <c r="C134" s="16" t="s">
        <v>1198</v>
      </c>
      <c r="D134" s="23" t="s">
        <v>71</v>
      </c>
      <c r="E134" s="14" t="s">
        <v>1199</v>
      </c>
      <c r="F134" s="14" t="s">
        <v>1200</v>
      </c>
      <c r="G134" s="14" t="s">
        <v>1201</v>
      </c>
      <c r="H134" s="14" t="s">
        <v>113</v>
      </c>
      <c r="I134" s="14" t="s">
        <v>84</v>
      </c>
      <c r="J134" s="18" t="s">
        <v>90</v>
      </c>
      <c r="K134" s="14" t="s">
        <v>97</v>
      </c>
      <c r="L134" s="14" t="s">
        <v>1193</v>
      </c>
      <c r="M134" s="14" t="s">
        <v>1202</v>
      </c>
      <c r="N134" s="14" t="s">
        <v>1203</v>
      </c>
      <c r="O134" s="19" t="s">
        <v>1204</v>
      </c>
      <c r="P134" s="20" t="s">
        <v>145</v>
      </c>
      <c r="Q134" s="14" t="s">
        <v>146</v>
      </c>
      <c r="R134" s="14" t="s">
        <v>146</v>
      </c>
      <c r="S134" s="14" t="s">
        <v>1205</v>
      </c>
      <c r="T134" s="14" t="s">
        <v>1065</v>
      </c>
      <c r="U134" s="14" t="s">
        <v>146</v>
      </c>
    </row>
    <row r="135" ht="72" customHeight="1" spans="1:21" s="14" customFormat="1" x14ac:dyDescent="0.25">
      <c r="A135" s="14">
        <v>134</v>
      </c>
      <c r="B135" s="15" t="s">
        <v>136</v>
      </c>
      <c r="C135" s="16" t="s">
        <v>1206</v>
      </c>
      <c r="D135" s="23" t="s">
        <v>71</v>
      </c>
      <c r="E135" s="14" t="s">
        <v>1207</v>
      </c>
      <c r="F135" s="14" t="s">
        <v>1208</v>
      </c>
      <c r="G135" s="14" t="s">
        <v>1209</v>
      </c>
      <c r="H135" s="14" t="s">
        <v>113</v>
      </c>
      <c r="I135" s="24" t="s">
        <v>82</v>
      </c>
      <c r="J135" s="18" t="s">
        <v>90</v>
      </c>
      <c r="K135" s="14" t="s">
        <v>95</v>
      </c>
      <c r="L135" s="14" t="s">
        <v>1193</v>
      </c>
      <c r="M135" s="14" t="s">
        <v>1210</v>
      </c>
      <c r="N135" s="14" t="s">
        <v>1211</v>
      </c>
      <c r="O135" s="19" t="s">
        <v>1212</v>
      </c>
      <c r="P135" s="20" t="s">
        <v>145</v>
      </c>
      <c r="Q135" s="14" t="s">
        <v>1213</v>
      </c>
      <c r="R135" s="14" t="s">
        <v>1214</v>
      </c>
      <c r="S135" s="14" t="s">
        <v>1215</v>
      </c>
      <c r="T135" s="14" t="s">
        <v>1065</v>
      </c>
      <c r="U135" s="14" t="s">
        <v>146</v>
      </c>
    </row>
    <row r="136" ht="72" customHeight="1" spans="1:21" s="14" customFormat="1" x14ac:dyDescent="0.25">
      <c r="A136" s="14">
        <v>135</v>
      </c>
      <c r="B136" s="15" t="s">
        <v>136</v>
      </c>
      <c r="C136" s="16" t="s">
        <v>1216</v>
      </c>
      <c r="D136" s="23" t="s">
        <v>71</v>
      </c>
      <c r="E136" s="14" t="s">
        <v>1217</v>
      </c>
      <c r="F136" s="14" t="s">
        <v>1218</v>
      </c>
      <c r="G136" s="14" t="s">
        <v>1219</v>
      </c>
      <c r="H136" s="14" t="s">
        <v>111</v>
      </c>
      <c r="I136" s="14" t="s">
        <v>84</v>
      </c>
      <c r="J136" s="18" t="s">
        <v>90</v>
      </c>
      <c r="K136" s="14" t="s">
        <v>95</v>
      </c>
      <c r="L136" s="14" t="s">
        <v>1220</v>
      </c>
      <c r="M136" s="14" t="s">
        <v>1221</v>
      </c>
      <c r="N136" s="14" t="s">
        <v>1222</v>
      </c>
      <c r="O136" s="19" t="s">
        <v>1223</v>
      </c>
      <c r="P136" s="21" t="s">
        <v>136</v>
      </c>
      <c r="Q136" s="14" t="s">
        <v>146</v>
      </c>
      <c r="R136" s="14" t="s">
        <v>146</v>
      </c>
      <c r="S136" s="14" t="s">
        <v>1224</v>
      </c>
      <c r="T136" s="14" t="s">
        <v>1065</v>
      </c>
      <c r="U136" s="14" t="s">
        <v>146</v>
      </c>
    </row>
    <row r="137" ht="72" customHeight="1" spans="1:21" s="14" customFormat="1" x14ac:dyDescent="0.25">
      <c r="A137" s="14">
        <v>136</v>
      </c>
      <c r="B137" s="15" t="s">
        <v>136</v>
      </c>
      <c r="C137" s="16" t="s">
        <v>1225</v>
      </c>
      <c r="D137" s="23" t="s">
        <v>71</v>
      </c>
      <c r="E137" s="14" t="s">
        <v>1226</v>
      </c>
      <c r="F137" s="14" t="s">
        <v>1227</v>
      </c>
      <c r="G137" s="14" t="s">
        <v>1228</v>
      </c>
      <c r="H137" s="14" t="s">
        <v>115</v>
      </c>
      <c r="I137" s="14" t="s">
        <v>84</v>
      </c>
      <c r="J137" s="18" t="s">
        <v>90</v>
      </c>
      <c r="K137" s="14" t="s">
        <v>97</v>
      </c>
      <c r="L137" s="14" t="s">
        <v>1229</v>
      </c>
      <c r="M137" s="14" t="s">
        <v>1230</v>
      </c>
      <c r="N137" s="14" t="s">
        <v>1231</v>
      </c>
      <c r="O137" s="19" t="s">
        <v>1232</v>
      </c>
      <c r="P137" s="20" t="s">
        <v>145</v>
      </c>
      <c r="Q137" s="14" t="s">
        <v>146</v>
      </c>
      <c r="R137" s="14" t="s">
        <v>146</v>
      </c>
      <c r="S137" s="14" t="s">
        <v>1233</v>
      </c>
      <c r="T137" s="14" t="s">
        <v>1065</v>
      </c>
      <c r="U137" s="14" t="s">
        <v>146</v>
      </c>
    </row>
    <row r="138" ht="72" customHeight="1" spans="1:21" s="14" customFormat="1" x14ac:dyDescent="0.25">
      <c r="A138" s="14">
        <v>137</v>
      </c>
      <c r="B138" s="15" t="s">
        <v>136</v>
      </c>
      <c r="C138" s="16" t="s">
        <v>1234</v>
      </c>
      <c r="D138" s="23" t="s">
        <v>71</v>
      </c>
      <c r="E138" s="14" t="s">
        <v>1235</v>
      </c>
      <c r="F138" s="14" t="s">
        <v>1236</v>
      </c>
      <c r="G138" s="14" t="s">
        <v>1237</v>
      </c>
      <c r="H138" s="14" t="s">
        <v>113</v>
      </c>
      <c r="I138" s="14" t="s">
        <v>84</v>
      </c>
      <c r="J138" s="18" t="s">
        <v>90</v>
      </c>
      <c r="K138" s="14" t="s">
        <v>97</v>
      </c>
      <c r="L138" s="14" t="s">
        <v>1193</v>
      </c>
      <c r="M138" s="14" t="s">
        <v>1238</v>
      </c>
      <c r="N138" s="14" t="s">
        <v>1239</v>
      </c>
      <c r="O138" s="19" t="s">
        <v>1240</v>
      </c>
      <c r="P138" s="20" t="s">
        <v>145</v>
      </c>
      <c r="Q138" s="14" t="s">
        <v>146</v>
      </c>
      <c r="R138" s="14" t="s">
        <v>146</v>
      </c>
      <c r="S138" s="14" t="s">
        <v>1241</v>
      </c>
      <c r="T138" s="14" t="s">
        <v>1065</v>
      </c>
      <c r="U138" s="14" t="s">
        <v>146</v>
      </c>
    </row>
    <row r="139" ht="72" customHeight="1" spans="1:21" s="14" customFormat="1" x14ac:dyDescent="0.25">
      <c r="A139" s="14">
        <v>138</v>
      </c>
      <c r="B139" s="15" t="s">
        <v>136</v>
      </c>
      <c r="C139" s="16" t="s">
        <v>1242</v>
      </c>
      <c r="D139" s="23" t="s">
        <v>71</v>
      </c>
      <c r="E139" s="14" t="s">
        <v>1243</v>
      </c>
      <c r="F139" s="14" t="s">
        <v>1244</v>
      </c>
      <c r="G139" s="14" t="s">
        <v>1245</v>
      </c>
      <c r="H139" s="14" t="s">
        <v>113</v>
      </c>
      <c r="I139" s="24" t="s">
        <v>26</v>
      </c>
      <c r="J139" s="18" t="s">
        <v>90</v>
      </c>
      <c r="K139" s="14" t="s">
        <v>97</v>
      </c>
      <c r="L139" s="14" t="s">
        <v>1193</v>
      </c>
      <c r="M139" s="14" t="s">
        <v>1246</v>
      </c>
      <c r="N139" s="14" t="s">
        <v>1247</v>
      </c>
      <c r="O139" s="19" t="s">
        <v>1248</v>
      </c>
      <c r="P139" s="20" t="s">
        <v>145</v>
      </c>
      <c r="Q139" s="14" t="s">
        <v>709</v>
      </c>
      <c r="R139" s="14" t="s">
        <v>464</v>
      </c>
      <c r="S139" s="14" t="s">
        <v>1249</v>
      </c>
      <c r="T139" s="14" t="s">
        <v>1065</v>
      </c>
      <c r="U139" s="14" t="s">
        <v>146</v>
      </c>
    </row>
    <row r="140" ht="72" customHeight="1" spans="1:21" s="14" customFormat="1" x14ac:dyDescent="0.25">
      <c r="A140" s="14">
        <v>139</v>
      </c>
      <c r="B140" s="15" t="s">
        <v>136</v>
      </c>
      <c r="C140" s="16" t="s">
        <v>1250</v>
      </c>
      <c r="D140" s="23" t="s">
        <v>71</v>
      </c>
      <c r="E140" s="14" t="s">
        <v>1251</v>
      </c>
      <c r="F140" s="14" t="s">
        <v>1252</v>
      </c>
      <c r="G140" s="14" t="s">
        <v>1253</v>
      </c>
      <c r="H140" s="14" t="s">
        <v>111</v>
      </c>
      <c r="I140" s="14" t="s">
        <v>84</v>
      </c>
      <c r="J140" s="18" t="s">
        <v>90</v>
      </c>
      <c r="K140" s="14" t="s">
        <v>95</v>
      </c>
      <c r="L140" s="14" t="s">
        <v>1254</v>
      </c>
      <c r="M140" s="14" t="s">
        <v>1255</v>
      </c>
      <c r="N140" s="14" t="s">
        <v>1256</v>
      </c>
      <c r="O140" s="19" t="s">
        <v>1257</v>
      </c>
      <c r="P140" s="21" t="s">
        <v>136</v>
      </c>
      <c r="Q140" s="14" t="s">
        <v>146</v>
      </c>
      <c r="R140" s="14" t="s">
        <v>146</v>
      </c>
      <c r="S140" s="14" t="s">
        <v>1258</v>
      </c>
      <c r="T140" s="14" t="s">
        <v>1065</v>
      </c>
      <c r="U140" s="14" t="s">
        <v>146</v>
      </c>
    </row>
    <row r="141" ht="72" customHeight="1" spans="1:21" s="14" customFormat="1" x14ac:dyDescent="0.25">
      <c r="A141" s="14">
        <v>140</v>
      </c>
      <c r="B141" s="15" t="s">
        <v>136</v>
      </c>
      <c r="C141" s="16" t="s">
        <v>1259</v>
      </c>
      <c r="D141" s="23" t="s">
        <v>71</v>
      </c>
      <c r="E141" s="14" t="s">
        <v>1260</v>
      </c>
      <c r="F141" s="14" t="s">
        <v>1261</v>
      </c>
      <c r="G141" s="14" t="s">
        <v>1262</v>
      </c>
      <c r="H141" s="14" t="s">
        <v>113</v>
      </c>
      <c r="I141" s="14" t="s">
        <v>84</v>
      </c>
      <c r="J141" s="18" t="s">
        <v>90</v>
      </c>
      <c r="K141" s="14" t="s">
        <v>97</v>
      </c>
      <c r="L141" s="14" t="s">
        <v>1193</v>
      </c>
      <c r="M141" s="14" t="s">
        <v>1263</v>
      </c>
      <c r="N141" s="14" t="s">
        <v>1264</v>
      </c>
      <c r="O141" s="19" t="s">
        <v>1265</v>
      </c>
      <c r="P141" s="20" t="s">
        <v>145</v>
      </c>
      <c r="Q141" s="14" t="s">
        <v>146</v>
      </c>
      <c r="R141" s="14" t="s">
        <v>146</v>
      </c>
      <c r="S141" s="14" t="s">
        <v>1266</v>
      </c>
      <c r="T141" s="14" t="s">
        <v>1065</v>
      </c>
      <c r="U141" s="14" t="s">
        <v>146</v>
      </c>
    </row>
    <row r="142" ht="72" customHeight="1" spans="1:21" s="14" customFormat="1" x14ac:dyDescent="0.25">
      <c r="A142" s="14">
        <v>141</v>
      </c>
      <c r="B142" s="15" t="s">
        <v>136</v>
      </c>
      <c r="C142" s="16" t="s">
        <v>1267</v>
      </c>
      <c r="D142" s="23" t="s">
        <v>71</v>
      </c>
      <c r="E142" s="14" t="s">
        <v>1268</v>
      </c>
      <c r="F142" s="14" t="s">
        <v>1269</v>
      </c>
      <c r="G142" s="14" t="s">
        <v>1270</v>
      </c>
      <c r="H142" s="14" t="s">
        <v>113</v>
      </c>
      <c r="I142" s="22" t="s">
        <v>80</v>
      </c>
      <c r="J142" s="18" t="s">
        <v>90</v>
      </c>
      <c r="K142" s="14" t="s">
        <v>97</v>
      </c>
      <c r="L142" s="14" t="s">
        <v>1193</v>
      </c>
      <c r="M142" s="14" t="s">
        <v>1271</v>
      </c>
      <c r="N142" s="14" t="s">
        <v>1272</v>
      </c>
      <c r="O142" s="19" t="s">
        <v>1273</v>
      </c>
      <c r="P142" s="20" t="s">
        <v>145</v>
      </c>
      <c r="Q142" s="14" t="s">
        <v>146</v>
      </c>
      <c r="R142" s="14" t="s">
        <v>146</v>
      </c>
      <c r="S142" s="14" t="s">
        <v>1274</v>
      </c>
      <c r="T142" s="14" t="s">
        <v>1065</v>
      </c>
      <c r="U142" s="14" t="s">
        <v>146</v>
      </c>
    </row>
    <row r="143" ht="72" customHeight="1" spans="1:21" s="14" customFormat="1" x14ac:dyDescent="0.25">
      <c r="A143" s="14">
        <v>142</v>
      </c>
      <c r="B143" s="15" t="s">
        <v>136</v>
      </c>
      <c r="C143" s="16" t="s">
        <v>1275</v>
      </c>
      <c r="D143" s="23" t="s">
        <v>71</v>
      </c>
      <c r="E143" s="14" t="s">
        <v>1276</v>
      </c>
      <c r="F143" s="14" t="s">
        <v>1277</v>
      </c>
      <c r="G143" s="14" t="s">
        <v>1278</v>
      </c>
      <c r="H143" s="14" t="s">
        <v>111</v>
      </c>
      <c r="I143" s="14" t="s">
        <v>84</v>
      </c>
      <c r="J143" s="18" t="s">
        <v>90</v>
      </c>
      <c r="K143" s="14" t="s">
        <v>95</v>
      </c>
      <c r="L143" s="14" t="s">
        <v>1254</v>
      </c>
      <c r="M143" s="14" t="s">
        <v>1279</v>
      </c>
      <c r="N143" s="14" t="s">
        <v>1280</v>
      </c>
      <c r="O143" s="19" t="s">
        <v>1281</v>
      </c>
      <c r="P143" s="21" t="s">
        <v>136</v>
      </c>
      <c r="Q143" s="14" t="s">
        <v>146</v>
      </c>
      <c r="R143" s="14" t="s">
        <v>146</v>
      </c>
      <c r="S143" s="14" t="s">
        <v>1282</v>
      </c>
      <c r="T143" s="14" t="s">
        <v>1065</v>
      </c>
      <c r="U143" s="14" t="s">
        <v>146</v>
      </c>
    </row>
    <row r="144" ht="72" customHeight="1" spans="1:21" s="14" customFormat="1" x14ac:dyDescent="0.25">
      <c r="A144" s="14">
        <v>143</v>
      </c>
      <c r="B144" s="15" t="s">
        <v>136</v>
      </c>
      <c r="C144" s="16" t="s">
        <v>1283</v>
      </c>
      <c r="D144" s="23" t="s">
        <v>71</v>
      </c>
      <c r="E144" s="14" t="s">
        <v>1284</v>
      </c>
      <c r="F144" s="14" t="s">
        <v>1285</v>
      </c>
      <c r="G144" s="14" t="s">
        <v>1286</v>
      </c>
      <c r="H144" s="14" t="s">
        <v>111</v>
      </c>
      <c r="I144" s="14" t="s">
        <v>84</v>
      </c>
      <c r="J144" s="18" t="s">
        <v>90</v>
      </c>
      <c r="K144" s="14" t="s">
        <v>95</v>
      </c>
      <c r="L144" s="14" t="s">
        <v>1287</v>
      </c>
      <c r="M144" s="14" t="s">
        <v>1288</v>
      </c>
      <c r="N144" s="14" t="s">
        <v>1289</v>
      </c>
      <c r="O144" s="19" t="s">
        <v>1290</v>
      </c>
      <c r="P144" s="20" t="s">
        <v>145</v>
      </c>
      <c r="Q144" s="14" t="s">
        <v>146</v>
      </c>
      <c r="R144" s="14" t="s">
        <v>146</v>
      </c>
      <c r="S144" s="14" t="s">
        <v>1291</v>
      </c>
      <c r="T144" s="14" t="s">
        <v>1065</v>
      </c>
      <c r="U144" s="14" t="s">
        <v>146</v>
      </c>
    </row>
    <row r="145" ht="72" customHeight="1" spans="1:21" s="14" customFormat="1" x14ac:dyDescent="0.25">
      <c r="A145" s="14">
        <v>144</v>
      </c>
      <c r="B145" s="15" t="s">
        <v>136</v>
      </c>
      <c r="C145" s="16" t="s">
        <v>1292</v>
      </c>
      <c r="D145" s="23" t="s">
        <v>71</v>
      </c>
      <c r="E145" s="14" t="s">
        <v>1293</v>
      </c>
      <c r="F145" s="14" t="s">
        <v>1294</v>
      </c>
      <c r="G145" s="14" t="s">
        <v>1295</v>
      </c>
      <c r="H145" s="14" t="s">
        <v>113</v>
      </c>
      <c r="I145" s="22" t="s">
        <v>86</v>
      </c>
      <c r="J145" s="18" t="s">
        <v>90</v>
      </c>
      <c r="K145" s="14" t="s">
        <v>95</v>
      </c>
      <c r="L145" s="14" t="s">
        <v>1287</v>
      </c>
      <c r="M145" s="14" t="s">
        <v>1296</v>
      </c>
      <c r="N145" s="14" t="s">
        <v>1297</v>
      </c>
      <c r="O145" s="19" t="s">
        <v>495</v>
      </c>
      <c r="P145" s="20" t="s">
        <v>145</v>
      </c>
      <c r="Q145" s="14" t="s">
        <v>146</v>
      </c>
      <c r="R145" s="14" t="s">
        <v>146</v>
      </c>
      <c r="S145" s="14" t="s">
        <v>1298</v>
      </c>
      <c r="T145" s="14" t="s">
        <v>1065</v>
      </c>
      <c r="U145" s="14" t="s">
        <v>146</v>
      </c>
    </row>
    <row r="146" ht="72" customHeight="1" spans="1:21" s="14" customFormat="1" x14ac:dyDescent="0.25">
      <c r="A146" s="14">
        <v>145</v>
      </c>
      <c r="B146" s="15" t="s">
        <v>136</v>
      </c>
      <c r="C146" s="16" t="s">
        <v>1299</v>
      </c>
      <c r="D146" s="23" t="s">
        <v>71</v>
      </c>
      <c r="E146" s="14" t="s">
        <v>1300</v>
      </c>
      <c r="F146" s="14" t="s">
        <v>1301</v>
      </c>
      <c r="G146" s="14" t="s">
        <v>1302</v>
      </c>
      <c r="H146" s="14" t="s">
        <v>111</v>
      </c>
      <c r="I146" s="14" t="s">
        <v>84</v>
      </c>
      <c r="J146" s="18" t="s">
        <v>90</v>
      </c>
      <c r="K146" s="14" t="s">
        <v>95</v>
      </c>
      <c r="L146" s="14" t="s">
        <v>1303</v>
      </c>
      <c r="M146" s="14" t="s">
        <v>1304</v>
      </c>
      <c r="N146" s="14" t="s">
        <v>1305</v>
      </c>
      <c r="O146" s="19" t="s">
        <v>1306</v>
      </c>
      <c r="P146" s="21" t="s">
        <v>136</v>
      </c>
      <c r="Q146" s="14" t="s">
        <v>146</v>
      </c>
      <c r="R146" s="14" t="s">
        <v>146</v>
      </c>
      <c r="S146" s="14" t="s">
        <v>1307</v>
      </c>
      <c r="T146" s="14" t="s">
        <v>1065</v>
      </c>
      <c r="U146" s="14" t="s">
        <v>146</v>
      </c>
    </row>
    <row r="147" ht="72" customHeight="1" spans="1:21" s="14" customFormat="1" x14ac:dyDescent="0.25">
      <c r="A147" s="14">
        <v>146</v>
      </c>
      <c r="B147" s="15" t="s">
        <v>136</v>
      </c>
      <c r="C147" s="16" t="s">
        <v>1308</v>
      </c>
      <c r="D147" s="28" t="s">
        <v>69</v>
      </c>
      <c r="E147" s="14" t="s">
        <v>1309</v>
      </c>
      <c r="F147" s="14" t="s">
        <v>1310</v>
      </c>
      <c r="G147" s="14" t="s">
        <v>1311</v>
      </c>
      <c r="H147" s="14" t="s">
        <v>113</v>
      </c>
      <c r="I147" s="14" t="s">
        <v>84</v>
      </c>
      <c r="J147" s="18" t="s">
        <v>90</v>
      </c>
      <c r="K147" s="14" t="s">
        <v>97</v>
      </c>
      <c r="L147" s="14" t="s">
        <v>252</v>
      </c>
      <c r="M147" s="14" t="s">
        <v>1312</v>
      </c>
      <c r="N147" s="14" t="s">
        <v>1313</v>
      </c>
      <c r="O147" s="19" t="s">
        <v>255</v>
      </c>
      <c r="P147" s="20" t="s">
        <v>145</v>
      </c>
      <c r="Q147" s="14" t="s">
        <v>146</v>
      </c>
      <c r="R147" s="14" t="s">
        <v>146</v>
      </c>
      <c r="S147" s="14" t="s">
        <v>1314</v>
      </c>
      <c r="T147" s="14" t="s">
        <v>1315</v>
      </c>
      <c r="U147" s="14" t="s">
        <v>146</v>
      </c>
    </row>
    <row r="148" ht="72" customHeight="1" spans="1:21" s="14" customFormat="1" x14ac:dyDescent="0.25">
      <c r="A148" s="14">
        <v>147</v>
      </c>
      <c r="B148" s="15" t="s">
        <v>136</v>
      </c>
      <c r="C148" s="16" t="s">
        <v>1316</v>
      </c>
      <c r="D148" s="28" t="s">
        <v>69</v>
      </c>
      <c r="E148" s="14" t="s">
        <v>1317</v>
      </c>
      <c r="F148" s="14" t="s">
        <v>1318</v>
      </c>
      <c r="G148" s="14" t="s">
        <v>882</v>
      </c>
      <c r="H148" s="14" t="s">
        <v>113</v>
      </c>
      <c r="I148" s="14" t="s">
        <v>84</v>
      </c>
      <c r="J148" s="18" t="s">
        <v>90</v>
      </c>
      <c r="K148" s="14" t="s">
        <v>97</v>
      </c>
      <c r="L148" s="14" t="s">
        <v>1319</v>
      </c>
      <c r="M148" s="14" t="s">
        <v>1320</v>
      </c>
      <c r="N148" s="14" t="s">
        <v>1321</v>
      </c>
      <c r="O148" s="19" t="s">
        <v>255</v>
      </c>
      <c r="P148" s="20" t="s">
        <v>145</v>
      </c>
      <c r="Q148" s="14" t="s">
        <v>146</v>
      </c>
      <c r="R148" s="14" t="s">
        <v>146</v>
      </c>
      <c r="S148" s="14" t="s">
        <v>1322</v>
      </c>
      <c r="T148" s="14" t="s">
        <v>1315</v>
      </c>
      <c r="U148" s="14" t="s">
        <v>146</v>
      </c>
    </row>
    <row r="149" ht="72" customHeight="1" spans="1:21" s="14" customFormat="1" x14ac:dyDescent="0.25">
      <c r="A149" s="14">
        <v>148</v>
      </c>
      <c r="B149" s="15" t="s">
        <v>136</v>
      </c>
      <c r="C149" s="16" t="s">
        <v>1323</v>
      </c>
      <c r="D149" s="28" t="s">
        <v>69</v>
      </c>
      <c r="E149" s="14" t="s">
        <v>1317</v>
      </c>
      <c r="F149" s="14" t="s">
        <v>1324</v>
      </c>
      <c r="G149" s="14" t="s">
        <v>1325</v>
      </c>
      <c r="H149" s="14" t="s">
        <v>113</v>
      </c>
      <c r="I149" s="14" t="s">
        <v>84</v>
      </c>
      <c r="J149" s="18" t="s">
        <v>90</v>
      </c>
      <c r="K149" s="14" t="s">
        <v>97</v>
      </c>
      <c r="L149" s="14" t="s">
        <v>252</v>
      </c>
      <c r="M149" s="14" t="s">
        <v>1326</v>
      </c>
      <c r="N149" s="14" t="s">
        <v>1327</v>
      </c>
      <c r="O149" s="19" t="s">
        <v>1328</v>
      </c>
      <c r="P149" s="20" t="s">
        <v>145</v>
      </c>
      <c r="Q149" s="14" t="s">
        <v>146</v>
      </c>
      <c r="R149" s="14" t="s">
        <v>146</v>
      </c>
      <c r="S149" s="14" t="s">
        <v>1329</v>
      </c>
      <c r="T149" s="14" t="s">
        <v>1315</v>
      </c>
      <c r="U149" s="14" t="s">
        <v>146</v>
      </c>
    </row>
    <row r="150" ht="72" customHeight="1" spans="1:21" s="14" customFormat="1" x14ac:dyDescent="0.25">
      <c r="A150" s="14">
        <v>149</v>
      </c>
      <c r="B150" s="15" t="s">
        <v>136</v>
      </c>
      <c r="C150" s="16" t="s">
        <v>1330</v>
      </c>
      <c r="D150" s="28" t="s">
        <v>69</v>
      </c>
      <c r="E150" s="14" t="s">
        <v>1331</v>
      </c>
      <c r="F150" s="14" t="s">
        <v>1332</v>
      </c>
      <c r="G150" s="14" t="s">
        <v>1333</v>
      </c>
      <c r="H150" s="14" t="s">
        <v>113</v>
      </c>
      <c r="I150" s="14" t="s">
        <v>84</v>
      </c>
      <c r="J150" s="18" t="s">
        <v>90</v>
      </c>
      <c r="K150" s="14" t="s">
        <v>97</v>
      </c>
      <c r="L150" s="14" t="s">
        <v>252</v>
      </c>
      <c r="M150" s="14" t="s">
        <v>1334</v>
      </c>
      <c r="N150" s="14" t="s">
        <v>1335</v>
      </c>
      <c r="O150" s="19" t="s">
        <v>1336</v>
      </c>
      <c r="P150" s="20" t="s">
        <v>145</v>
      </c>
      <c r="Q150" s="14" t="s">
        <v>146</v>
      </c>
      <c r="R150" s="14" t="s">
        <v>146</v>
      </c>
      <c r="S150" s="14" t="s">
        <v>1337</v>
      </c>
      <c r="T150" s="14" t="s">
        <v>1315</v>
      </c>
      <c r="U150" s="14" t="s">
        <v>146</v>
      </c>
    </row>
    <row r="151" ht="72" customHeight="1" spans="1:21" s="14" customFormat="1" x14ac:dyDescent="0.25">
      <c r="A151" s="14">
        <v>150</v>
      </c>
      <c r="B151" s="15" t="s">
        <v>136</v>
      </c>
      <c r="C151" s="16" t="s">
        <v>1338</v>
      </c>
      <c r="D151" s="28" t="s">
        <v>69</v>
      </c>
      <c r="E151" s="14" t="s">
        <v>1339</v>
      </c>
      <c r="F151" s="14" t="s">
        <v>1340</v>
      </c>
      <c r="G151" s="14" t="s">
        <v>1341</v>
      </c>
      <c r="H151" s="14" t="s">
        <v>113</v>
      </c>
      <c r="I151" s="22" t="s">
        <v>80</v>
      </c>
      <c r="J151" s="18" t="s">
        <v>90</v>
      </c>
      <c r="K151" s="14" t="s">
        <v>97</v>
      </c>
      <c r="L151" s="14" t="s">
        <v>252</v>
      </c>
      <c r="M151" s="14" t="s">
        <v>1342</v>
      </c>
      <c r="N151" s="14" t="s">
        <v>1343</v>
      </c>
      <c r="O151" s="19" t="s">
        <v>1344</v>
      </c>
      <c r="P151" s="20" t="s">
        <v>145</v>
      </c>
      <c r="Q151" s="14" t="s">
        <v>146</v>
      </c>
      <c r="R151" s="14" t="s">
        <v>146</v>
      </c>
      <c r="S151" s="14" t="s">
        <v>1345</v>
      </c>
      <c r="T151" s="14" t="s">
        <v>1315</v>
      </c>
      <c r="U151" s="14" t="s">
        <v>146</v>
      </c>
    </row>
    <row r="152" ht="72" customHeight="1" spans="1:21" s="14" customFormat="1" x14ac:dyDescent="0.25">
      <c r="A152" s="14">
        <v>151</v>
      </c>
      <c r="B152" s="15" t="s">
        <v>136</v>
      </c>
      <c r="C152" s="16" t="s">
        <v>1346</v>
      </c>
      <c r="D152" s="28" t="s">
        <v>69</v>
      </c>
      <c r="E152" s="14" t="s">
        <v>1339</v>
      </c>
      <c r="F152" s="14" t="s">
        <v>1347</v>
      </c>
      <c r="G152" s="14" t="s">
        <v>1348</v>
      </c>
      <c r="H152" s="14" t="s">
        <v>113</v>
      </c>
      <c r="I152" s="22" t="s">
        <v>80</v>
      </c>
      <c r="J152" s="18" t="s">
        <v>90</v>
      </c>
      <c r="K152" s="14" t="s">
        <v>95</v>
      </c>
      <c r="L152" s="14" t="s">
        <v>252</v>
      </c>
      <c r="M152" s="14" t="s">
        <v>1349</v>
      </c>
      <c r="N152" s="14" t="s">
        <v>1350</v>
      </c>
      <c r="O152" s="19" t="s">
        <v>1351</v>
      </c>
      <c r="P152" s="20" t="s">
        <v>145</v>
      </c>
      <c r="Q152" s="14" t="s">
        <v>146</v>
      </c>
      <c r="R152" s="14" t="s">
        <v>146</v>
      </c>
      <c r="S152" s="14" t="s">
        <v>1352</v>
      </c>
      <c r="T152" s="14" t="s">
        <v>1315</v>
      </c>
      <c r="U152" s="14" t="s">
        <v>146</v>
      </c>
    </row>
    <row r="153" ht="72" customHeight="1" spans="1:21" s="14" customFormat="1" x14ac:dyDescent="0.25">
      <c r="A153" s="14">
        <v>152</v>
      </c>
      <c r="B153" s="15" t="s">
        <v>136</v>
      </c>
      <c r="C153" s="16" t="s">
        <v>1353</v>
      </c>
      <c r="D153" s="28" t="s">
        <v>69</v>
      </c>
      <c r="E153" s="14" t="s">
        <v>1354</v>
      </c>
      <c r="F153" s="14" t="s">
        <v>1355</v>
      </c>
      <c r="G153" s="14" t="s">
        <v>1356</v>
      </c>
      <c r="H153" s="14" t="s">
        <v>113</v>
      </c>
      <c r="I153" s="22" t="s">
        <v>86</v>
      </c>
      <c r="J153" s="18" t="s">
        <v>90</v>
      </c>
      <c r="K153" s="14" t="s">
        <v>97</v>
      </c>
      <c r="L153" s="14" t="s">
        <v>252</v>
      </c>
      <c r="M153" s="14" t="s">
        <v>1357</v>
      </c>
      <c r="N153" s="14" t="s">
        <v>1358</v>
      </c>
      <c r="O153" s="19" t="s">
        <v>255</v>
      </c>
      <c r="P153" s="20" t="s">
        <v>145</v>
      </c>
      <c r="Q153" s="14" t="s">
        <v>146</v>
      </c>
      <c r="R153" s="14" t="s">
        <v>146</v>
      </c>
      <c r="S153" s="14" t="s">
        <v>1359</v>
      </c>
      <c r="T153" s="14" t="s">
        <v>1315</v>
      </c>
      <c r="U153" s="14" t="s">
        <v>146</v>
      </c>
    </row>
    <row r="154" ht="72" customHeight="1" spans="1:21" s="14" customFormat="1" x14ac:dyDescent="0.25">
      <c r="A154" s="14">
        <v>153</v>
      </c>
      <c r="B154" s="15" t="s">
        <v>136</v>
      </c>
      <c r="C154" s="16" t="s">
        <v>1360</v>
      </c>
      <c r="D154" s="28" t="s">
        <v>69</v>
      </c>
      <c r="E154" s="14" t="s">
        <v>1361</v>
      </c>
      <c r="F154" s="14" t="s">
        <v>1362</v>
      </c>
      <c r="G154" s="14" t="s">
        <v>1363</v>
      </c>
      <c r="H154" s="14" t="s">
        <v>113</v>
      </c>
      <c r="I154" s="14" t="s">
        <v>84</v>
      </c>
      <c r="J154" s="18" t="s">
        <v>90</v>
      </c>
      <c r="K154" s="14" t="s">
        <v>97</v>
      </c>
      <c r="L154" s="14" t="s">
        <v>252</v>
      </c>
      <c r="M154" s="14" t="s">
        <v>1364</v>
      </c>
      <c r="N154" s="14" t="s">
        <v>1365</v>
      </c>
      <c r="O154" s="19" t="s">
        <v>1366</v>
      </c>
      <c r="P154" s="20" t="s">
        <v>145</v>
      </c>
      <c r="Q154" s="14" t="s">
        <v>146</v>
      </c>
      <c r="R154" s="14" t="s">
        <v>146</v>
      </c>
      <c r="S154" s="14" t="s">
        <v>1367</v>
      </c>
      <c r="T154" s="14" t="s">
        <v>1315</v>
      </c>
      <c r="U154" s="14" t="s">
        <v>146</v>
      </c>
    </row>
    <row r="155" ht="72" customHeight="1" spans="1:21" s="14" customFormat="1" x14ac:dyDescent="0.25">
      <c r="A155" s="14">
        <v>154</v>
      </c>
      <c r="B155" s="15" t="s">
        <v>136</v>
      </c>
      <c r="C155" s="16" t="s">
        <v>1368</v>
      </c>
      <c r="D155" s="28" t="s">
        <v>69</v>
      </c>
      <c r="E155" s="14" t="s">
        <v>1361</v>
      </c>
      <c r="F155" s="14" t="s">
        <v>1369</v>
      </c>
      <c r="G155" s="14" t="s">
        <v>1370</v>
      </c>
      <c r="H155" s="14" t="s">
        <v>113</v>
      </c>
      <c r="I155" s="14" t="s">
        <v>84</v>
      </c>
      <c r="J155" s="18" t="s">
        <v>90</v>
      </c>
      <c r="K155" s="14" t="s">
        <v>97</v>
      </c>
      <c r="L155" s="14" t="s">
        <v>252</v>
      </c>
      <c r="M155" s="14" t="s">
        <v>1371</v>
      </c>
      <c r="N155" s="14" t="s">
        <v>1372</v>
      </c>
      <c r="O155" s="19" t="s">
        <v>1373</v>
      </c>
      <c r="P155" s="20" t="s">
        <v>145</v>
      </c>
      <c r="Q155" s="14" t="s">
        <v>146</v>
      </c>
      <c r="R155" s="14" t="s">
        <v>146</v>
      </c>
      <c r="S155" s="14" t="s">
        <v>1374</v>
      </c>
      <c r="T155" s="14" t="s">
        <v>1315</v>
      </c>
      <c r="U155" s="14" t="s">
        <v>146</v>
      </c>
    </row>
    <row r="156" ht="72" customHeight="1" spans="1:21" s="14" customFormat="1" x14ac:dyDescent="0.25">
      <c r="A156" s="14">
        <v>155</v>
      </c>
      <c r="B156" s="15" t="s">
        <v>136</v>
      </c>
      <c r="C156" s="16" t="s">
        <v>1375</v>
      </c>
      <c r="D156" s="28" t="s">
        <v>69</v>
      </c>
      <c r="E156" s="14" t="s">
        <v>1361</v>
      </c>
      <c r="F156" s="14" t="s">
        <v>1376</v>
      </c>
      <c r="G156" s="14" t="s">
        <v>1377</v>
      </c>
      <c r="H156" s="14" t="s">
        <v>113</v>
      </c>
      <c r="I156" s="22" t="s">
        <v>86</v>
      </c>
      <c r="J156" s="18" t="s">
        <v>90</v>
      </c>
      <c r="K156" s="14" t="s">
        <v>97</v>
      </c>
      <c r="L156" s="14" t="s">
        <v>252</v>
      </c>
      <c r="M156" s="14" t="s">
        <v>1378</v>
      </c>
      <c r="N156" s="14" t="s">
        <v>1379</v>
      </c>
      <c r="O156" s="19" t="s">
        <v>1380</v>
      </c>
      <c r="P156" s="20" t="s">
        <v>145</v>
      </c>
      <c r="Q156" s="14" t="s">
        <v>146</v>
      </c>
      <c r="R156" s="14" t="s">
        <v>146</v>
      </c>
      <c r="S156" s="14" t="s">
        <v>1381</v>
      </c>
      <c r="T156" s="14" t="s">
        <v>1315</v>
      </c>
      <c r="U156" s="14" t="s">
        <v>146</v>
      </c>
    </row>
    <row r="157" ht="72" customHeight="1" spans="1:21" s="14" customFormat="1" x14ac:dyDescent="0.25">
      <c r="A157" s="14">
        <v>156</v>
      </c>
      <c r="B157" s="15" t="s">
        <v>136</v>
      </c>
      <c r="C157" s="16" t="s">
        <v>1382</v>
      </c>
      <c r="D157" s="28" t="s">
        <v>69</v>
      </c>
      <c r="E157" s="14" t="s">
        <v>1383</v>
      </c>
      <c r="F157" s="14" t="s">
        <v>1384</v>
      </c>
      <c r="G157" s="14" t="s">
        <v>1385</v>
      </c>
      <c r="H157" s="14" t="s">
        <v>113</v>
      </c>
      <c r="I157" s="14" t="s">
        <v>84</v>
      </c>
      <c r="J157" s="18" t="s">
        <v>90</v>
      </c>
      <c r="K157" s="14" t="s">
        <v>97</v>
      </c>
      <c r="L157" s="14" t="s">
        <v>252</v>
      </c>
      <c r="M157" s="14" t="s">
        <v>1386</v>
      </c>
      <c r="N157" s="14" t="s">
        <v>1387</v>
      </c>
      <c r="O157" s="19" t="s">
        <v>1388</v>
      </c>
      <c r="P157" s="20" t="s">
        <v>145</v>
      </c>
      <c r="Q157" s="14" t="s">
        <v>146</v>
      </c>
      <c r="R157" s="14" t="s">
        <v>146</v>
      </c>
      <c r="S157" s="14" t="s">
        <v>1389</v>
      </c>
      <c r="T157" s="14" t="s">
        <v>1315</v>
      </c>
      <c r="U157" s="14" t="s">
        <v>146</v>
      </c>
    </row>
    <row r="158" ht="72" customHeight="1" spans="1:21" s="14" customFormat="1" x14ac:dyDescent="0.25">
      <c r="A158" s="14">
        <v>157</v>
      </c>
      <c r="B158" s="15" t="s">
        <v>136</v>
      </c>
      <c r="C158" s="16" t="s">
        <v>1390</v>
      </c>
      <c r="D158" s="28" t="s">
        <v>69</v>
      </c>
      <c r="E158" s="14" t="s">
        <v>1383</v>
      </c>
      <c r="F158" s="14" t="s">
        <v>1391</v>
      </c>
      <c r="G158" s="14" t="s">
        <v>1392</v>
      </c>
      <c r="H158" s="14" t="s">
        <v>113</v>
      </c>
      <c r="I158" s="14" t="s">
        <v>84</v>
      </c>
      <c r="J158" s="18" t="s">
        <v>90</v>
      </c>
      <c r="K158" s="14" t="s">
        <v>97</v>
      </c>
      <c r="L158" s="14" t="s">
        <v>252</v>
      </c>
      <c r="M158" s="14" t="s">
        <v>1393</v>
      </c>
      <c r="N158" s="14" t="s">
        <v>1394</v>
      </c>
      <c r="O158" s="19" t="s">
        <v>1395</v>
      </c>
      <c r="P158" s="20" t="s">
        <v>145</v>
      </c>
      <c r="Q158" s="14" t="s">
        <v>146</v>
      </c>
      <c r="R158" s="14" t="s">
        <v>146</v>
      </c>
      <c r="S158" s="14" t="s">
        <v>1396</v>
      </c>
      <c r="T158" s="14" t="s">
        <v>1315</v>
      </c>
      <c r="U158" s="14" t="s">
        <v>146</v>
      </c>
    </row>
    <row r="159" ht="72" customHeight="1" spans="1:21" s="14" customFormat="1" x14ac:dyDescent="0.25">
      <c r="A159" s="14">
        <v>158</v>
      </c>
      <c r="B159" s="15" t="s">
        <v>136</v>
      </c>
      <c r="C159" s="16" t="s">
        <v>1397</v>
      </c>
      <c r="D159" s="28" t="s">
        <v>69</v>
      </c>
      <c r="E159" s="14" t="s">
        <v>1398</v>
      </c>
      <c r="F159" s="14" t="s">
        <v>1399</v>
      </c>
      <c r="G159" s="14" t="s">
        <v>1400</v>
      </c>
      <c r="H159" s="14" t="s">
        <v>113</v>
      </c>
      <c r="I159" s="14" t="s">
        <v>84</v>
      </c>
      <c r="J159" s="18" t="s">
        <v>90</v>
      </c>
      <c r="K159" s="14" t="s">
        <v>97</v>
      </c>
      <c r="L159" s="14" t="s">
        <v>252</v>
      </c>
      <c r="M159" s="14" t="s">
        <v>1401</v>
      </c>
      <c r="N159" s="14" t="s">
        <v>1402</v>
      </c>
      <c r="O159" s="19" t="s">
        <v>255</v>
      </c>
      <c r="P159" s="20" t="s">
        <v>145</v>
      </c>
      <c r="Q159" s="14" t="s">
        <v>146</v>
      </c>
      <c r="R159" s="14" t="s">
        <v>146</v>
      </c>
      <c r="S159" s="14" t="s">
        <v>1403</v>
      </c>
      <c r="T159" s="14" t="s">
        <v>1315</v>
      </c>
      <c r="U159" s="14" t="s">
        <v>146</v>
      </c>
    </row>
    <row r="160" ht="72" customHeight="1" spans="1:21" s="14" customFormat="1" x14ac:dyDescent="0.25">
      <c r="A160" s="14">
        <v>159</v>
      </c>
      <c r="B160" s="15" t="s">
        <v>136</v>
      </c>
      <c r="C160" s="16" t="s">
        <v>1404</v>
      </c>
      <c r="D160" s="28" t="s">
        <v>69</v>
      </c>
      <c r="E160" s="14" t="s">
        <v>1405</v>
      </c>
      <c r="F160" s="14" t="s">
        <v>1406</v>
      </c>
      <c r="G160" s="14" t="s">
        <v>1407</v>
      </c>
      <c r="H160" s="14" t="s">
        <v>113</v>
      </c>
      <c r="I160" s="14" t="s">
        <v>84</v>
      </c>
      <c r="J160" s="18" t="s">
        <v>90</v>
      </c>
      <c r="K160" s="14" t="s">
        <v>97</v>
      </c>
      <c r="L160" s="14" t="s">
        <v>252</v>
      </c>
      <c r="M160" s="14" t="s">
        <v>1408</v>
      </c>
      <c r="N160" s="14" t="s">
        <v>1409</v>
      </c>
      <c r="O160" s="19" t="s">
        <v>1410</v>
      </c>
      <c r="P160" s="20" t="s">
        <v>145</v>
      </c>
      <c r="Q160" s="14" t="s">
        <v>146</v>
      </c>
      <c r="R160" s="14" t="s">
        <v>146</v>
      </c>
      <c r="S160" s="14" t="s">
        <v>1411</v>
      </c>
      <c r="T160" s="14" t="s">
        <v>1315</v>
      </c>
      <c r="U160" s="14" t="s">
        <v>146</v>
      </c>
    </row>
    <row r="161" ht="72" customHeight="1" spans="1:21" s="14" customFormat="1" x14ac:dyDescent="0.25">
      <c r="A161" s="14">
        <v>160</v>
      </c>
      <c r="B161" s="15" t="s">
        <v>136</v>
      </c>
      <c r="C161" s="16" t="s">
        <v>1412</v>
      </c>
      <c r="D161" s="28" t="s">
        <v>69</v>
      </c>
      <c r="E161" s="14" t="s">
        <v>1413</v>
      </c>
      <c r="F161" s="14" t="s">
        <v>1414</v>
      </c>
      <c r="G161" s="14" t="s">
        <v>1415</v>
      </c>
      <c r="H161" s="14" t="s">
        <v>113</v>
      </c>
      <c r="I161" s="14" t="s">
        <v>84</v>
      </c>
      <c r="J161" s="18" t="s">
        <v>90</v>
      </c>
      <c r="K161" s="14" t="s">
        <v>97</v>
      </c>
      <c r="L161" s="14" t="s">
        <v>252</v>
      </c>
      <c r="M161" s="14" t="s">
        <v>1416</v>
      </c>
      <c r="N161" s="14" t="s">
        <v>1417</v>
      </c>
      <c r="O161" s="19" t="s">
        <v>1418</v>
      </c>
      <c r="P161" s="20" t="s">
        <v>145</v>
      </c>
      <c r="Q161" s="14" t="s">
        <v>146</v>
      </c>
      <c r="R161" s="14" t="s">
        <v>146</v>
      </c>
      <c r="S161" s="14" t="s">
        <v>1419</v>
      </c>
      <c r="T161" s="14" t="s">
        <v>1315</v>
      </c>
      <c r="U161" s="14" t="s">
        <v>146</v>
      </c>
    </row>
    <row r="162" ht="72" customHeight="1" spans="1:21" s="14" customFormat="1" x14ac:dyDescent="0.25">
      <c r="A162" s="14">
        <v>161</v>
      </c>
      <c r="B162" s="15" t="s">
        <v>136</v>
      </c>
      <c r="C162" s="16" t="s">
        <v>1420</v>
      </c>
      <c r="D162" s="28" t="s">
        <v>69</v>
      </c>
      <c r="E162" s="14" t="s">
        <v>1421</v>
      </c>
      <c r="F162" s="14" t="s">
        <v>1422</v>
      </c>
      <c r="G162" s="14" t="s">
        <v>944</v>
      </c>
      <c r="H162" s="14" t="s">
        <v>113</v>
      </c>
      <c r="I162" s="14" t="s">
        <v>84</v>
      </c>
      <c r="J162" s="18" t="s">
        <v>90</v>
      </c>
      <c r="K162" s="14" t="s">
        <v>97</v>
      </c>
      <c r="L162" s="14" t="s">
        <v>252</v>
      </c>
      <c r="M162" s="14" t="s">
        <v>1423</v>
      </c>
      <c r="N162" s="14" t="s">
        <v>946</v>
      </c>
      <c r="O162" s="19" t="s">
        <v>947</v>
      </c>
      <c r="P162" s="20" t="s">
        <v>145</v>
      </c>
      <c r="Q162" s="14" t="s">
        <v>146</v>
      </c>
      <c r="R162" s="14" t="s">
        <v>146</v>
      </c>
      <c r="S162" s="14" t="s">
        <v>1424</v>
      </c>
      <c r="T162" s="14" t="s">
        <v>1315</v>
      </c>
      <c r="U162" s="14" t="s">
        <v>146</v>
      </c>
    </row>
    <row r="163" ht="72" customHeight="1" spans="1:21" s="14" customFormat="1" x14ac:dyDescent="0.25">
      <c r="A163" s="14">
        <v>162</v>
      </c>
      <c r="B163" s="15" t="s">
        <v>136</v>
      </c>
      <c r="C163" s="16" t="s">
        <v>1425</v>
      </c>
      <c r="D163" s="28" t="s">
        <v>69</v>
      </c>
      <c r="E163" s="14" t="s">
        <v>1426</v>
      </c>
      <c r="F163" s="14" t="s">
        <v>1427</v>
      </c>
      <c r="G163" s="14" t="s">
        <v>1428</v>
      </c>
      <c r="H163" s="14" t="s">
        <v>111</v>
      </c>
      <c r="I163" s="14" t="s">
        <v>84</v>
      </c>
      <c r="J163" s="18" t="s">
        <v>90</v>
      </c>
      <c r="K163" s="14" t="s">
        <v>95</v>
      </c>
      <c r="L163" s="14" t="s">
        <v>1429</v>
      </c>
      <c r="M163" s="14" t="s">
        <v>1430</v>
      </c>
      <c r="N163" s="14" t="s">
        <v>1431</v>
      </c>
      <c r="O163" s="19" t="s">
        <v>1432</v>
      </c>
      <c r="P163" s="21" t="s">
        <v>136</v>
      </c>
      <c r="Q163" s="14" t="s">
        <v>146</v>
      </c>
      <c r="R163" s="14" t="s">
        <v>146</v>
      </c>
      <c r="S163" s="14" t="s">
        <v>1433</v>
      </c>
      <c r="T163" s="14" t="s">
        <v>1315</v>
      </c>
      <c r="U163" s="14" t="s">
        <v>146</v>
      </c>
    </row>
    <row r="164" ht="72" customHeight="1" spans="1:21" s="14" customFormat="1" x14ac:dyDescent="0.25">
      <c r="A164" s="14">
        <v>163</v>
      </c>
      <c r="B164" s="15" t="s">
        <v>136</v>
      </c>
      <c r="C164" s="16" t="s">
        <v>1434</v>
      </c>
      <c r="D164" s="28" t="s">
        <v>69</v>
      </c>
      <c r="E164" s="14" t="s">
        <v>1435</v>
      </c>
      <c r="F164" s="14" t="s">
        <v>1436</v>
      </c>
      <c r="G164" s="14" t="s">
        <v>1437</v>
      </c>
      <c r="H164" s="14" t="s">
        <v>111</v>
      </c>
      <c r="I164" s="14" t="s">
        <v>84</v>
      </c>
      <c r="J164" s="18" t="s">
        <v>90</v>
      </c>
      <c r="K164" s="14" t="s">
        <v>95</v>
      </c>
      <c r="L164" s="14" t="s">
        <v>1438</v>
      </c>
      <c r="M164" s="14" t="s">
        <v>1439</v>
      </c>
      <c r="N164" s="14" t="s">
        <v>1440</v>
      </c>
      <c r="O164" s="19" t="s">
        <v>965</v>
      </c>
      <c r="P164" s="20" t="s">
        <v>145</v>
      </c>
      <c r="Q164" s="14" t="s">
        <v>146</v>
      </c>
      <c r="R164" s="14" t="s">
        <v>146</v>
      </c>
      <c r="S164" s="14" t="s">
        <v>1441</v>
      </c>
      <c r="T164" s="14" t="s">
        <v>1315</v>
      </c>
      <c r="U164" s="14" t="s">
        <v>146</v>
      </c>
    </row>
    <row r="165" ht="72" customHeight="1" spans="1:21" s="14" customFormat="1" x14ac:dyDescent="0.25">
      <c r="A165" s="14">
        <v>164</v>
      </c>
      <c r="B165" s="15" t="s">
        <v>136</v>
      </c>
      <c r="C165" s="16" t="s">
        <v>1442</v>
      </c>
      <c r="D165" s="28" t="s">
        <v>69</v>
      </c>
      <c r="E165" s="14" t="s">
        <v>1317</v>
      </c>
      <c r="F165" s="14" t="s">
        <v>1443</v>
      </c>
      <c r="G165" s="14" t="s">
        <v>1444</v>
      </c>
      <c r="H165" s="14" t="s">
        <v>113</v>
      </c>
      <c r="I165" s="14" t="s">
        <v>84</v>
      </c>
      <c r="J165" s="18" t="s">
        <v>90</v>
      </c>
      <c r="K165" s="14" t="s">
        <v>97</v>
      </c>
      <c r="L165" s="14" t="s">
        <v>1438</v>
      </c>
      <c r="M165" s="14" t="s">
        <v>1445</v>
      </c>
      <c r="N165" s="14" t="s">
        <v>1446</v>
      </c>
      <c r="O165" s="19" t="s">
        <v>255</v>
      </c>
      <c r="P165" s="20" t="s">
        <v>145</v>
      </c>
      <c r="Q165" s="14" t="s">
        <v>146</v>
      </c>
      <c r="R165" s="14" t="s">
        <v>146</v>
      </c>
      <c r="S165" s="14" t="s">
        <v>1447</v>
      </c>
      <c r="T165" s="14" t="s">
        <v>1315</v>
      </c>
      <c r="U165" s="14" t="s">
        <v>146</v>
      </c>
    </row>
    <row r="166" ht="72" customHeight="1" spans="1:21" s="14" customFormat="1" x14ac:dyDescent="0.25">
      <c r="A166" s="14">
        <v>165</v>
      </c>
      <c r="B166" s="15" t="s">
        <v>136</v>
      </c>
      <c r="C166" s="16" t="s">
        <v>1448</v>
      </c>
      <c r="D166" s="28" t="s">
        <v>69</v>
      </c>
      <c r="E166" s="14" t="s">
        <v>1449</v>
      </c>
      <c r="F166" s="14" t="s">
        <v>1450</v>
      </c>
      <c r="G166" s="14" t="s">
        <v>976</v>
      </c>
      <c r="H166" s="14" t="s">
        <v>113</v>
      </c>
      <c r="I166" s="22" t="s">
        <v>80</v>
      </c>
      <c r="J166" s="18" t="s">
        <v>90</v>
      </c>
      <c r="K166" s="14" t="s">
        <v>97</v>
      </c>
      <c r="L166" s="14" t="s">
        <v>1438</v>
      </c>
      <c r="M166" s="14" t="s">
        <v>1451</v>
      </c>
      <c r="N166" s="14" t="s">
        <v>1452</v>
      </c>
      <c r="O166" s="19" t="s">
        <v>1453</v>
      </c>
      <c r="P166" s="20" t="s">
        <v>145</v>
      </c>
      <c r="Q166" s="14" t="s">
        <v>146</v>
      </c>
      <c r="R166" s="14" t="s">
        <v>146</v>
      </c>
      <c r="S166" s="14" t="s">
        <v>1454</v>
      </c>
      <c r="T166" s="14" t="s">
        <v>1315</v>
      </c>
      <c r="U166" s="14" t="s">
        <v>146</v>
      </c>
    </row>
    <row r="167" ht="72" customHeight="1" spans="1:21" s="14" customFormat="1" x14ac:dyDescent="0.25">
      <c r="A167" s="14">
        <v>166</v>
      </c>
      <c r="B167" s="15" t="s">
        <v>136</v>
      </c>
      <c r="C167" s="16" t="s">
        <v>1455</v>
      </c>
      <c r="D167" s="28" t="s">
        <v>69</v>
      </c>
      <c r="E167" s="14" t="s">
        <v>1456</v>
      </c>
      <c r="F167" s="14" t="s">
        <v>1457</v>
      </c>
      <c r="G167" s="14" t="s">
        <v>1458</v>
      </c>
      <c r="H167" s="14" t="s">
        <v>111</v>
      </c>
      <c r="I167" s="14" t="s">
        <v>84</v>
      </c>
      <c r="J167" s="18" t="s">
        <v>90</v>
      </c>
      <c r="K167" s="14" t="s">
        <v>95</v>
      </c>
      <c r="L167" s="14" t="s">
        <v>1438</v>
      </c>
      <c r="M167" s="14" t="s">
        <v>1459</v>
      </c>
      <c r="N167" s="14" t="s">
        <v>1460</v>
      </c>
      <c r="O167" s="19" t="s">
        <v>1461</v>
      </c>
      <c r="P167" s="21" t="s">
        <v>136</v>
      </c>
      <c r="Q167" s="14" t="s">
        <v>146</v>
      </c>
      <c r="R167" s="14" t="s">
        <v>146</v>
      </c>
      <c r="S167" s="14" t="s">
        <v>1462</v>
      </c>
      <c r="T167" s="14" t="s">
        <v>1315</v>
      </c>
      <c r="U167" s="14" t="s">
        <v>146</v>
      </c>
    </row>
    <row r="168" ht="72" customHeight="1" spans="1:21" s="14" customFormat="1" x14ac:dyDescent="0.25">
      <c r="A168" s="14">
        <v>167</v>
      </c>
      <c r="B168" s="15" t="s">
        <v>136</v>
      </c>
      <c r="C168" s="16" t="s">
        <v>1463</v>
      </c>
      <c r="D168" s="28" t="s">
        <v>69</v>
      </c>
      <c r="E168" s="14" t="s">
        <v>1464</v>
      </c>
      <c r="F168" s="14" t="s">
        <v>1465</v>
      </c>
      <c r="G168" s="14" t="s">
        <v>1466</v>
      </c>
      <c r="H168" s="14" t="s">
        <v>111</v>
      </c>
      <c r="I168" s="14" t="s">
        <v>84</v>
      </c>
      <c r="J168" s="18" t="s">
        <v>90</v>
      </c>
      <c r="K168" s="14" t="s">
        <v>95</v>
      </c>
      <c r="L168" s="14" t="s">
        <v>1467</v>
      </c>
      <c r="M168" s="14" t="s">
        <v>1468</v>
      </c>
      <c r="N168" s="14" t="s">
        <v>1469</v>
      </c>
      <c r="O168" s="19" t="s">
        <v>965</v>
      </c>
      <c r="P168" s="20" t="s">
        <v>145</v>
      </c>
      <c r="Q168" s="14" t="s">
        <v>146</v>
      </c>
      <c r="R168" s="14" t="s">
        <v>146</v>
      </c>
      <c r="S168" s="14" t="s">
        <v>1470</v>
      </c>
      <c r="T168" s="14" t="s">
        <v>1315</v>
      </c>
      <c r="U168" s="14" t="s">
        <v>146</v>
      </c>
    </row>
    <row r="169" ht="72" customHeight="1" spans="1:21" s="14" customFormat="1" x14ac:dyDescent="0.25">
      <c r="A169" s="14">
        <v>168</v>
      </c>
      <c r="B169" s="15" t="s">
        <v>136</v>
      </c>
      <c r="C169" s="16" t="s">
        <v>1471</v>
      </c>
      <c r="D169" s="28" t="s">
        <v>69</v>
      </c>
      <c r="E169" s="14" t="s">
        <v>1472</v>
      </c>
      <c r="F169" s="14" t="s">
        <v>1473</v>
      </c>
      <c r="G169" s="14" t="s">
        <v>1474</v>
      </c>
      <c r="H169" s="14" t="s">
        <v>113</v>
      </c>
      <c r="I169" s="14" t="s">
        <v>84</v>
      </c>
      <c r="J169" s="18" t="s">
        <v>90</v>
      </c>
      <c r="K169" s="14" t="s">
        <v>97</v>
      </c>
      <c r="L169" s="14" t="s">
        <v>1467</v>
      </c>
      <c r="M169" s="14" t="s">
        <v>1475</v>
      </c>
      <c r="N169" s="14" t="s">
        <v>1476</v>
      </c>
      <c r="O169" s="19" t="s">
        <v>1265</v>
      </c>
      <c r="P169" s="20" t="s">
        <v>145</v>
      </c>
      <c r="Q169" s="14" t="s">
        <v>146</v>
      </c>
      <c r="R169" s="14" t="s">
        <v>146</v>
      </c>
      <c r="S169" s="14" t="s">
        <v>1477</v>
      </c>
      <c r="T169" s="14" t="s">
        <v>1315</v>
      </c>
      <c r="U169" s="14" t="s">
        <v>146</v>
      </c>
    </row>
    <row r="170" ht="72" customHeight="1" spans="1:21" s="14" customFormat="1" x14ac:dyDescent="0.25">
      <c r="A170" s="14">
        <v>169</v>
      </c>
      <c r="B170" s="15" t="s">
        <v>136</v>
      </c>
      <c r="C170" s="16" t="s">
        <v>1478</v>
      </c>
      <c r="D170" s="28" t="s">
        <v>69</v>
      </c>
      <c r="E170" s="14" t="s">
        <v>1479</v>
      </c>
      <c r="F170" s="14" t="s">
        <v>1480</v>
      </c>
      <c r="G170" s="14" t="s">
        <v>1481</v>
      </c>
      <c r="H170" s="14" t="s">
        <v>113</v>
      </c>
      <c r="I170" s="24" t="s">
        <v>26</v>
      </c>
      <c r="J170" s="18" t="s">
        <v>90</v>
      </c>
      <c r="K170" s="14" t="s">
        <v>97</v>
      </c>
      <c r="L170" s="14" t="s">
        <v>252</v>
      </c>
      <c r="M170" s="14" t="s">
        <v>1482</v>
      </c>
      <c r="N170" s="14" t="s">
        <v>1483</v>
      </c>
      <c r="O170" s="19" t="s">
        <v>1011</v>
      </c>
      <c r="P170" s="20" t="s">
        <v>145</v>
      </c>
      <c r="Q170" s="14" t="s">
        <v>684</v>
      </c>
      <c r="R170" s="14" t="s">
        <v>385</v>
      </c>
      <c r="S170" s="14" t="s">
        <v>1484</v>
      </c>
      <c r="T170" s="14" t="s">
        <v>1315</v>
      </c>
      <c r="U170" s="14" t="s">
        <v>146</v>
      </c>
    </row>
    <row r="171" ht="72" customHeight="1" spans="1:21" s="14" customFormat="1" x14ac:dyDescent="0.25">
      <c r="A171" s="14">
        <v>170</v>
      </c>
      <c r="B171" s="15" t="s">
        <v>136</v>
      </c>
      <c r="C171" s="16" t="s">
        <v>1485</v>
      </c>
      <c r="D171" s="28" t="s">
        <v>69</v>
      </c>
      <c r="E171" s="14" t="s">
        <v>1486</v>
      </c>
      <c r="F171" s="14" t="s">
        <v>1487</v>
      </c>
      <c r="G171" s="14" t="s">
        <v>1488</v>
      </c>
      <c r="H171" s="14" t="s">
        <v>113</v>
      </c>
      <c r="I171" s="24" t="s">
        <v>26</v>
      </c>
      <c r="J171" s="18" t="s">
        <v>90</v>
      </c>
      <c r="K171" s="14" t="s">
        <v>97</v>
      </c>
      <c r="L171" s="14" t="s">
        <v>252</v>
      </c>
      <c r="M171" s="14" t="s">
        <v>1489</v>
      </c>
      <c r="N171" s="14" t="s">
        <v>1490</v>
      </c>
      <c r="O171" s="19" t="s">
        <v>443</v>
      </c>
      <c r="P171" s="20" t="s">
        <v>145</v>
      </c>
      <c r="Q171" s="14" t="s">
        <v>692</v>
      </c>
      <c r="R171" s="14" t="s">
        <v>385</v>
      </c>
      <c r="S171" s="14" t="s">
        <v>1491</v>
      </c>
      <c r="T171" s="14" t="s">
        <v>1315</v>
      </c>
      <c r="U171" s="14" t="s">
        <v>146</v>
      </c>
    </row>
    <row r="172" ht="72" customHeight="1" spans="1:21" s="14" customFormat="1" x14ac:dyDescent="0.25">
      <c r="A172" s="14">
        <v>171</v>
      </c>
      <c r="B172" s="15" t="s">
        <v>136</v>
      </c>
      <c r="C172" s="16" t="s">
        <v>1492</v>
      </c>
      <c r="D172" s="28" t="s">
        <v>69</v>
      </c>
      <c r="E172" s="14" t="s">
        <v>1493</v>
      </c>
      <c r="F172" s="14" t="s">
        <v>1494</v>
      </c>
      <c r="G172" s="14" t="s">
        <v>1495</v>
      </c>
      <c r="H172" s="14" t="s">
        <v>113</v>
      </c>
      <c r="I172" s="24" t="s">
        <v>26</v>
      </c>
      <c r="J172" s="18" t="s">
        <v>90</v>
      </c>
      <c r="K172" s="14" t="s">
        <v>97</v>
      </c>
      <c r="L172" s="14" t="s">
        <v>252</v>
      </c>
      <c r="M172" s="14" t="s">
        <v>1496</v>
      </c>
      <c r="N172" s="14" t="s">
        <v>1497</v>
      </c>
      <c r="O172" s="19" t="s">
        <v>452</v>
      </c>
      <c r="P172" s="20" t="s">
        <v>145</v>
      </c>
      <c r="Q172" s="14" t="s">
        <v>701</v>
      </c>
      <c r="R172" s="14" t="s">
        <v>454</v>
      </c>
      <c r="S172" s="14" t="s">
        <v>1498</v>
      </c>
      <c r="T172" s="14" t="s">
        <v>1315</v>
      </c>
      <c r="U172" s="14" t="s">
        <v>146</v>
      </c>
    </row>
    <row r="173" ht="72" customHeight="1" spans="1:21" s="14" customFormat="1" x14ac:dyDescent="0.25">
      <c r="A173" s="14">
        <v>172</v>
      </c>
      <c r="B173" s="15" t="s">
        <v>136</v>
      </c>
      <c r="C173" s="16" t="s">
        <v>1499</v>
      </c>
      <c r="D173" s="28" t="s">
        <v>69</v>
      </c>
      <c r="E173" s="14" t="s">
        <v>1500</v>
      </c>
      <c r="F173" s="14" t="s">
        <v>458</v>
      </c>
      <c r="G173" s="14" t="s">
        <v>1501</v>
      </c>
      <c r="H173" s="14" t="s">
        <v>113</v>
      </c>
      <c r="I173" s="24" t="s">
        <v>26</v>
      </c>
      <c r="J173" s="18" t="s">
        <v>90</v>
      </c>
      <c r="K173" s="14" t="s">
        <v>97</v>
      </c>
      <c r="L173" s="14" t="s">
        <v>252</v>
      </c>
      <c r="M173" s="14" t="s">
        <v>1502</v>
      </c>
      <c r="N173" s="14" t="s">
        <v>1503</v>
      </c>
      <c r="O173" s="19" t="s">
        <v>1032</v>
      </c>
      <c r="P173" s="20" t="s">
        <v>145</v>
      </c>
      <c r="Q173" s="14" t="s">
        <v>709</v>
      </c>
      <c r="R173" s="14" t="s">
        <v>464</v>
      </c>
      <c r="S173" s="14" t="s">
        <v>1504</v>
      </c>
      <c r="T173" s="14" t="s">
        <v>1315</v>
      </c>
      <c r="U173" s="14" t="s">
        <v>146</v>
      </c>
    </row>
    <row r="174" ht="72" customHeight="1" spans="1:21" s="14" customFormat="1" x14ac:dyDescent="0.25">
      <c r="A174" s="14">
        <v>173</v>
      </c>
      <c r="B174" s="15" t="s">
        <v>136</v>
      </c>
      <c r="C174" s="16" t="s">
        <v>1505</v>
      </c>
      <c r="D174" s="28" t="s">
        <v>69</v>
      </c>
      <c r="E174" s="14" t="s">
        <v>1506</v>
      </c>
      <c r="F174" s="14" t="s">
        <v>1507</v>
      </c>
      <c r="G174" s="14" t="s">
        <v>1037</v>
      </c>
      <c r="H174" s="14" t="s">
        <v>113</v>
      </c>
      <c r="I174" s="24" t="s">
        <v>26</v>
      </c>
      <c r="J174" s="18" t="s">
        <v>90</v>
      </c>
      <c r="K174" s="14" t="s">
        <v>97</v>
      </c>
      <c r="L174" s="14" t="s">
        <v>252</v>
      </c>
      <c r="M174" s="14" t="s">
        <v>1508</v>
      </c>
      <c r="N174" s="14" t="s">
        <v>1509</v>
      </c>
      <c r="O174" s="19" t="s">
        <v>1040</v>
      </c>
      <c r="P174" s="20" t="s">
        <v>145</v>
      </c>
      <c r="Q174" s="14" t="s">
        <v>727</v>
      </c>
      <c r="R174" s="14" t="s">
        <v>475</v>
      </c>
      <c r="S174" s="14" t="s">
        <v>1510</v>
      </c>
      <c r="T174" s="14" t="s">
        <v>1315</v>
      </c>
      <c r="U174" s="14" t="s">
        <v>146</v>
      </c>
    </row>
    <row r="175" ht="72" customHeight="1" spans="1:21" s="14" customFormat="1" x14ac:dyDescent="0.25">
      <c r="A175" s="14">
        <v>174</v>
      </c>
      <c r="B175" s="15" t="s">
        <v>136</v>
      </c>
      <c r="C175" s="16" t="s">
        <v>1511</v>
      </c>
      <c r="D175" s="28" t="s">
        <v>69</v>
      </c>
      <c r="E175" s="14" t="s">
        <v>1512</v>
      </c>
      <c r="F175" s="14" t="s">
        <v>1513</v>
      </c>
      <c r="G175" s="14" t="s">
        <v>1514</v>
      </c>
      <c r="H175" s="14" t="s">
        <v>113</v>
      </c>
      <c r="I175" s="24" t="s">
        <v>26</v>
      </c>
      <c r="J175" s="18" t="s">
        <v>90</v>
      </c>
      <c r="K175" s="14" t="s">
        <v>95</v>
      </c>
      <c r="L175" s="14" t="s">
        <v>252</v>
      </c>
      <c r="M175" s="14" t="s">
        <v>1515</v>
      </c>
      <c r="N175" s="14" t="s">
        <v>1516</v>
      </c>
      <c r="O175" s="19" t="s">
        <v>1517</v>
      </c>
      <c r="P175" s="20" t="s">
        <v>145</v>
      </c>
      <c r="Q175" s="14" t="s">
        <v>485</v>
      </c>
      <c r="R175" s="14" t="s">
        <v>486</v>
      </c>
      <c r="S175" s="14" t="s">
        <v>1518</v>
      </c>
      <c r="T175" s="14" t="s">
        <v>1315</v>
      </c>
      <c r="U175" s="14" t="s">
        <v>146</v>
      </c>
    </row>
    <row r="176" ht="72" customHeight="1" spans="1:21" s="14" customFormat="1" x14ac:dyDescent="0.25">
      <c r="A176" s="14">
        <v>175</v>
      </c>
      <c r="B176" s="15" t="s">
        <v>136</v>
      </c>
      <c r="C176" s="16" t="s">
        <v>1519</v>
      </c>
      <c r="D176" s="28" t="s">
        <v>69</v>
      </c>
      <c r="E176" s="14" t="s">
        <v>1520</v>
      </c>
      <c r="F176" s="14" t="s">
        <v>1521</v>
      </c>
      <c r="G176" s="14" t="s">
        <v>1522</v>
      </c>
      <c r="H176" s="14" t="s">
        <v>113</v>
      </c>
      <c r="I176" s="22" t="s">
        <v>86</v>
      </c>
      <c r="J176" s="18" t="s">
        <v>90</v>
      </c>
      <c r="K176" s="14" t="s">
        <v>97</v>
      </c>
      <c r="L176" s="14" t="s">
        <v>1467</v>
      </c>
      <c r="M176" s="14" t="s">
        <v>1523</v>
      </c>
      <c r="N176" s="14" t="s">
        <v>1524</v>
      </c>
      <c r="O176" s="19" t="s">
        <v>495</v>
      </c>
      <c r="P176" s="20" t="s">
        <v>145</v>
      </c>
      <c r="Q176" s="14" t="s">
        <v>146</v>
      </c>
      <c r="R176" s="14" t="s">
        <v>146</v>
      </c>
      <c r="S176" s="14" t="s">
        <v>1525</v>
      </c>
      <c r="T176" s="14" t="s">
        <v>1315</v>
      </c>
      <c r="U176" s="14" t="s">
        <v>146</v>
      </c>
    </row>
    <row r="177" ht="72" customHeight="1" spans="1:21" s="14" customFormat="1" x14ac:dyDescent="0.25">
      <c r="A177" s="14">
        <v>176</v>
      </c>
      <c r="B177" s="15" t="s">
        <v>136</v>
      </c>
      <c r="C177" s="16" t="s">
        <v>1526</v>
      </c>
      <c r="D177" s="29" t="s">
        <v>77</v>
      </c>
      <c r="E177" s="14" t="s">
        <v>1527</v>
      </c>
      <c r="F177" s="14" t="s">
        <v>1528</v>
      </c>
      <c r="G177" s="14" t="s">
        <v>1529</v>
      </c>
      <c r="H177" s="14" t="s">
        <v>113</v>
      </c>
      <c r="I177" s="14" t="s">
        <v>84</v>
      </c>
      <c r="J177" s="18" t="s">
        <v>90</v>
      </c>
      <c r="K177" s="14" t="s">
        <v>97</v>
      </c>
      <c r="L177" s="14" t="s">
        <v>252</v>
      </c>
      <c r="M177" s="14" t="s">
        <v>1530</v>
      </c>
      <c r="N177" s="14" t="s">
        <v>1531</v>
      </c>
      <c r="O177" s="19" t="s">
        <v>255</v>
      </c>
      <c r="P177" s="20" t="s">
        <v>145</v>
      </c>
      <c r="Q177" s="14" t="s">
        <v>146</v>
      </c>
      <c r="R177" s="14" t="s">
        <v>146</v>
      </c>
      <c r="S177" s="14" t="s">
        <v>1532</v>
      </c>
      <c r="T177" s="14" t="s">
        <v>1533</v>
      </c>
      <c r="U177" s="14" t="s">
        <v>146</v>
      </c>
    </row>
    <row r="178" ht="72" customHeight="1" spans="1:21" s="14" customFormat="1" x14ac:dyDescent="0.25">
      <c r="A178" s="14">
        <v>177</v>
      </c>
      <c r="B178" s="15" t="s">
        <v>136</v>
      </c>
      <c r="C178" s="16" t="s">
        <v>1534</v>
      </c>
      <c r="D178" s="29" t="s">
        <v>77</v>
      </c>
      <c r="E178" s="14" t="s">
        <v>1535</v>
      </c>
      <c r="F178" s="14" t="s">
        <v>1536</v>
      </c>
      <c r="G178" s="14" t="s">
        <v>1537</v>
      </c>
      <c r="H178" s="14" t="s">
        <v>113</v>
      </c>
      <c r="I178" s="14" t="s">
        <v>84</v>
      </c>
      <c r="J178" s="18" t="s">
        <v>90</v>
      </c>
      <c r="K178" s="14" t="s">
        <v>97</v>
      </c>
      <c r="L178" s="14" t="s">
        <v>1538</v>
      </c>
      <c r="M178" s="14" t="s">
        <v>1539</v>
      </c>
      <c r="N178" s="14" t="s">
        <v>1540</v>
      </c>
      <c r="O178" s="19" t="s">
        <v>255</v>
      </c>
      <c r="P178" s="20" t="s">
        <v>145</v>
      </c>
      <c r="Q178" s="14" t="s">
        <v>146</v>
      </c>
      <c r="R178" s="14" t="s">
        <v>146</v>
      </c>
      <c r="S178" s="14" t="s">
        <v>1541</v>
      </c>
      <c r="T178" s="14" t="s">
        <v>1533</v>
      </c>
      <c r="U178" s="14" t="s">
        <v>146</v>
      </c>
    </row>
    <row r="179" ht="72" customHeight="1" spans="1:21" s="14" customFormat="1" x14ac:dyDescent="0.25">
      <c r="A179" s="14">
        <v>178</v>
      </c>
      <c r="B179" s="15" t="s">
        <v>136</v>
      </c>
      <c r="C179" s="16" t="s">
        <v>1542</v>
      </c>
      <c r="D179" s="29" t="s">
        <v>77</v>
      </c>
      <c r="E179" s="14" t="s">
        <v>1535</v>
      </c>
      <c r="F179" s="14" t="s">
        <v>1543</v>
      </c>
      <c r="G179" s="14" t="s">
        <v>1325</v>
      </c>
      <c r="H179" s="14" t="s">
        <v>113</v>
      </c>
      <c r="I179" s="14" t="s">
        <v>84</v>
      </c>
      <c r="J179" s="18" t="s">
        <v>90</v>
      </c>
      <c r="K179" s="14" t="s">
        <v>97</v>
      </c>
      <c r="L179" s="14" t="s">
        <v>252</v>
      </c>
      <c r="M179" s="14" t="s">
        <v>1544</v>
      </c>
      <c r="N179" s="14" t="s">
        <v>1327</v>
      </c>
      <c r="O179" s="19" t="s">
        <v>1328</v>
      </c>
      <c r="P179" s="20" t="s">
        <v>145</v>
      </c>
      <c r="Q179" s="14" t="s">
        <v>146</v>
      </c>
      <c r="R179" s="14" t="s">
        <v>146</v>
      </c>
      <c r="S179" s="14" t="s">
        <v>1545</v>
      </c>
      <c r="T179" s="14" t="s">
        <v>1533</v>
      </c>
      <c r="U179" s="14" t="s">
        <v>146</v>
      </c>
    </row>
    <row r="180" ht="72" customHeight="1" spans="1:21" s="14" customFormat="1" x14ac:dyDescent="0.25">
      <c r="A180" s="14">
        <v>179</v>
      </c>
      <c r="B180" s="15" t="s">
        <v>136</v>
      </c>
      <c r="C180" s="16" t="s">
        <v>1546</v>
      </c>
      <c r="D180" s="29" t="s">
        <v>77</v>
      </c>
      <c r="E180" s="14" t="s">
        <v>1547</v>
      </c>
      <c r="F180" s="14" t="s">
        <v>1548</v>
      </c>
      <c r="G180" s="14" t="s">
        <v>1549</v>
      </c>
      <c r="H180" s="14" t="s">
        <v>113</v>
      </c>
      <c r="I180" s="14" t="s">
        <v>84</v>
      </c>
      <c r="J180" s="18" t="s">
        <v>90</v>
      </c>
      <c r="K180" s="14" t="s">
        <v>97</v>
      </c>
      <c r="L180" s="14" t="s">
        <v>252</v>
      </c>
      <c r="M180" s="14" t="s">
        <v>1550</v>
      </c>
      <c r="N180" s="14" t="s">
        <v>1551</v>
      </c>
      <c r="O180" s="19" t="s">
        <v>1552</v>
      </c>
      <c r="P180" s="20" t="s">
        <v>145</v>
      </c>
      <c r="Q180" s="14" t="s">
        <v>146</v>
      </c>
      <c r="R180" s="14" t="s">
        <v>146</v>
      </c>
      <c r="S180" s="14" t="s">
        <v>1553</v>
      </c>
      <c r="T180" s="14" t="s">
        <v>1533</v>
      </c>
      <c r="U180" s="14" t="s">
        <v>146</v>
      </c>
    </row>
    <row r="181" ht="72" customHeight="1" spans="1:21" s="14" customFormat="1" x14ac:dyDescent="0.25">
      <c r="A181" s="14">
        <v>180</v>
      </c>
      <c r="B181" s="15" t="s">
        <v>136</v>
      </c>
      <c r="C181" s="16" t="s">
        <v>1554</v>
      </c>
      <c r="D181" s="29" t="s">
        <v>77</v>
      </c>
      <c r="E181" s="14" t="s">
        <v>1555</v>
      </c>
      <c r="F181" s="14" t="s">
        <v>1556</v>
      </c>
      <c r="G181" s="14" t="s">
        <v>1557</v>
      </c>
      <c r="H181" s="14" t="s">
        <v>113</v>
      </c>
      <c r="I181" s="14" t="s">
        <v>84</v>
      </c>
      <c r="J181" s="18" t="s">
        <v>90</v>
      </c>
      <c r="K181" s="14" t="s">
        <v>97</v>
      </c>
      <c r="L181" s="14" t="s">
        <v>252</v>
      </c>
      <c r="M181" s="14" t="s">
        <v>1558</v>
      </c>
      <c r="N181" s="14" t="s">
        <v>1559</v>
      </c>
      <c r="O181" s="19" t="s">
        <v>1560</v>
      </c>
      <c r="P181" s="20" t="s">
        <v>145</v>
      </c>
      <c r="Q181" s="14" t="s">
        <v>146</v>
      </c>
      <c r="R181" s="14" t="s">
        <v>146</v>
      </c>
      <c r="S181" s="14" t="s">
        <v>1561</v>
      </c>
      <c r="T181" s="14" t="s">
        <v>1533</v>
      </c>
      <c r="U181" s="14" t="s">
        <v>146</v>
      </c>
    </row>
    <row r="182" ht="72" customHeight="1" spans="1:21" s="14" customFormat="1" x14ac:dyDescent="0.25">
      <c r="A182" s="14">
        <v>181</v>
      </c>
      <c r="B182" s="15" t="s">
        <v>136</v>
      </c>
      <c r="C182" s="16" t="s">
        <v>1562</v>
      </c>
      <c r="D182" s="29" t="s">
        <v>77</v>
      </c>
      <c r="E182" s="14" t="s">
        <v>1563</v>
      </c>
      <c r="F182" s="14" t="s">
        <v>1564</v>
      </c>
      <c r="G182" s="14" t="s">
        <v>1565</v>
      </c>
      <c r="H182" s="14" t="s">
        <v>113</v>
      </c>
      <c r="I182" s="22" t="s">
        <v>80</v>
      </c>
      <c r="J182" s="18" t="s">
        <v>90</v>
      </c>
      <c r="K182" s="14" t="s">
        <v>95</v>
      </c>
      <c r="L182" s="14" t="s">
        <v>252</v>
      </c>
      <c r="M182" s="14" t="s">
        <v>1566</v>
      </c>
      <c r="N182" s="14" t="s">
        <v>1567</v>
      </c>
      <c r="O182" s="19" t="s">
        <v>1568</v>
      </c>
      <c r="P182" s="20" t="s">
        <v>145</v>
      </c>
      <c r="Q182" s="14" t="s">
        <v>146</v>
      </c>
      <c r="R182" s="14" t="s">
        <v>146</v>
      </c>
      <c r="S182" s="14" t="s">
        <v>1569</v>
      </c>
      <c r="T182" s="14" t="s">
        <v>1533</v>
      </c>
      <c r="U182" s="14" t="s">
        <v>146</v>
      </c>
    </row>
    <row r="183" ht="72" customHeight="1" spans="1:21" s="14" customFormat="1" x14ac:dyDescent="0.25">
      <c r="A183" s="14">
        <v>182</v>
      </c>
      <c r="B183" s="15" t="s">
        <v>136</v>
      </c>
      <c r="C183" s="16" t="s">
        <v>1570</v>
      </c>
      <c r="D183" s="29" t="s">
        <v>77</v>
      </c>
      <c r="E183" s="14" t="s">
        <v>1563</v>
      </c>
      <c r="F183" s="14" t="s">
        <v>1571</v>
      </c>
      <c r="G183" s="14" t="s">
        <v>1572</v>
      </c>
      <c r="H183" s="14" t="s">
        <v>113</v>
      </c>
      <c r="I183" s="22" t="s">
        <v>80</v>
      </c>
      <c r="J183" s="18" t="s">
        <v>90</v>
      </c>
      <c r="K183" s="14" t="s">
        <v>95</v>
      </c>
      <c r="L183" s="14" t="s">
        <v>252</v>
      </c>
      <c r="M183" s="14" t="s">
        <v>1573</v>
      </c>
      <c r="N183" s="14" t="s">
        <v>1574</v>
      </c>
      <c r="O183" s="19" t="s">
        <v>1575</v>
      </c>
      <c r="P183" s="20" t="s">
        <v>145</v>
      </c>
      <c r="Q183" s="14" t="s">
        <v>146</v>
      </c>
      <c r="R183" s="14" t="s">
        <v>146</v>
      </c>
      <c r="S183" s="14" t="s">
        <v>1576</v>
      </c>
      <c r="T183" s="14" t="s">
        <v>1533</v>
      </c>
      <c r="U183" s="14" t="s">
        <v>146</v>
      </c>
    </row>
    <row r="184" ht="72" customHeight="1" spans="1:21" s="14" customFormat="1" x14ac:dyDescent="0.25">
      <c r="A184" s="14">
        <v>183</v>
      </c>
      <c r="B184" s="15" t="s">
        <v>136</v>
      </c>
      <c r="C184" s="16" t="s">
        <v>1577</v>
      </c>
      <c r="D184" s="29" t="s">
        <v>77</v>
      </c>
      <c r="E184" s="14" t="s">
        <v>1563</v>
      </c>
      <c r="F184" s="14" t="s">
        <v>1578</v>
      </c>
      <c r="G184" s="14" t="s">
        <v>1579</v>
      </c>
      <c r="H184" s="14" t="s">
        <v>113</v>
      </c>
      <c r="I184" s="22" t="s">
        <v>80</v>
      </c>
      <c r="J184" s="18" t="s">
        <v>90</v>
      </c>
      <c r="K184" s="14" t="s">
        <v>95</v>
      </c>
      <c r="L184" s="14" t="s">
        <v>252</v>
      </c>
      <c r="M184" s="14" t="s">
        <v>1580</v>
      </c>
      <c r="N184" s="14" t="s">
        <v>1581</v>
      </c>
      <c r="O184" s="19" t="s">
        <v>1582</v>
      </c>
      <c r="P184" s="20" t="s">
        <v>145</v>
      </c>
      <c r="Q184" s="14" t="s">
        <v>146</v>
      </c>
      <c r="R184" s="14" t="s">
        <v>146</v>
      </c>
      <c r="S184" s="14" t="s">
        <v>1583</v>
      </c>
      <c r="T184" s="14" t="s">
        <v>1533</v>
      </c>
      <c r="U184" s="14" t="s">
        <v>146</v>
      </c>
    </row>
    <row r="185" ht="72" customHeight="1" spans="1:21" s="14" customFormat="1" x14ac:dyDescent="0.25">
      <c r="A185" s="14">
        <v>184</v>
      </c>
      <c r="B185" s="15" t="s">
        <v>136</v>
      </c>
      <c r="C185" s="16" t="s">
        <v>1584</v>
      </c>
      <c r="D185" s="29" t="s">
        <v>77</v>
      </c>
      <c r="E185" s="14" t="s">
        <v>1563</v>
      </c>
      <c r="F185" s="14" t="s">
        <v>1585</v>
      </c>
      <c r="G185" s="14" t="s">
        <v>1586</v>
      </c>
      <c r="H185" s="14" t="s">
        <v>113</v>
      </c>
      <c r="I185" s="22" t="s">
        <v>80</v>
      </c>
      <c r="J185" s="18" t="s">
        <v>90</v>
      </c>
      <c r="K185" s="14" t="s">
        <v>95</v>
      </c>
      <c r="L185" s="14" t="s">
        <v>252</v>
      </c>
      <c r="M185" s="14" t="s">
        <v>1587</v>
      </c>
      <c r="N185" s="14" t="s">
        <v>1588</v>
      </c>
      <c r="O185" s="19" t="s">
        <v>1589</v>
      </c>
      <c r="P185" s="20" t="s">
        <v>145</v>
      </c>
      <c r="Q185" s="14" t="s">
        <v>146</v>
      </c>
      <c r="R185" s="14" t="s">
        <v>146</v>
      </c>
      <c r="S185" s="14" t="s">
        <v>1590</v>
      </c>
      <c r="T185" s="14" t="s">
        <v>1533</v>
      </c>
      <c r="U185" s="14" t="s">
        <v>146</v>
      </c>
    </row>
    <row r="186" ht="72" customHeight="1" spans="1:21" s="14" customFormat="1" x14ac:dyDescent="0.25">
      <c r="A186" s="14">
        <v>185</v>
      </c>
      <c r="B186" s="15" t="s">
        <v>136</v>
      </c>
      <c r="C186" s="16" t="s">
        <v>1591</v>
      </c>
      <c r="D186" s="29" t="s">
        <v>77</v>
      </c>
      <c r="E186" s="14" t="s">
        <v>1592</v>
      </c>
      <c r="F186" s="14" t="s">
        <v>1593</v>
      </c>
      <c r="G186" s="14" t="s">
        <v>1594</v>
      </c>
      <c r="H186" s="14" t="s">
        <v>113</v>
      </c>
      <c r="I186" s="22" t="s">
        <v>86</v>
      </c>
      <c r="J186" s="18" t="s">
        <v>90</v>
      </c>
      <c r="K186" s="14" t="s">
        <v>97</v>
      </c>
      <c r="L186" s="14" t="s">
        <v>252</v>
      </c>
      <c r="M186" s="14" t="s">
        <v>1595</v>
      </c>
      <c r="N186" s="14" t="s">
        <v>1596</v>
      </c>
      <c r="O186" s="19" t="s">
        <v>255</v>
      </c>
      <c r="P186" s="20" t="s">
        <v>145</v>
      </c>
      <c r="Q186" s="14" t="s">
        <v>146</v>
      </c>
      <c r="R186" s="14" t="s">
        <v>146</v>
      </c>
      <c r="S186" s="14" t="s">
        <v>1597</v>
      </c>
      <c r="T186" s="14" t="s">
        <v>1533</v>
      </c>
      <c r="U186" s="14" t="s">
        <v>146</v>
      </c>
    </row>
    <row r="187" ht="72" customHeight="1" spans="1:21" s="14" customFormat="1" x14ac:dyDescent="0.25">
      <c r="A187" s="14">
        <v>186</v>
      </c>
      <c r="B187" s="15" t="s">
        <v>136</v>
      </c>
      <c r="C187" s="16" t="s">
        <v>1598</v>
      </c>
      <c r="D187" s="29" t="s">
        <v>77</v>
      </c>
      <c r="E187" s="14" t="s">
        <v>1599</v>
      </c>
      <c r="F187" s="14" t="s">
        <v>1600</v>
      </c>
      <c r="G187" s="14" t="s">
        <v>1601</v>
      </c>
      <c r="H187" s="14" t="s">
        <v>113</v>
      </c>
      <c r="I187" s="14" t="s">
        <v>84</v>
      </c>
      <c r="J187" s="18" t="s">
        <v>90</v>
      </c>
      <c r="K187" s="14" t="s">
        <v>97</v>
      </c>
      <c r="L187" s="14" t="s">
        <v>252</v>
      </c>
      <c r="M187" s="14" t="s">
        <v>1602</v>
      </c>
      <c r="N187" s="14" t="s">
        <v>1603</v>
      </c>
      <c r="O187" s="19" t="s">
        <v>1604</v>
      </c>
      <c r="P187" s="20" t="s">
        <v>145</v>
      </c>
      <c r="Q187" s="14" t="s">
        <v>146</v>
      </c>
      <c r="R187" s="14" t="s">
        <v>146</v>
      </c>
      <c r="S187" s="14" t="s">
        <v>1605</v>
      </c>
      <c r="T187" s="14" t="s">
        <v>1533</v>
      </c>
      <c r="U187" s="14" t="s">
        <v>146</v>
      </c>
    </row>
    <row r="188" ht="72" customHeight="1" spans="1:21" s="14" customFormat="1" x14ac:dyDescent="0.25">
      <c r="A188" s="14">
        <v>187</v>
      </c>
      <c r="B188" s="15" t="s">
        <v>136</v>
      </c>
      <c r="C188" s="16" t="s">
        <v>1606</v>
      </c>
      <c r="D188" s="29" t="s">
        <v>77</v>
      </c>
      <c r="E188" s="14" t="s">
        <v>1607</v>
      </c>
      <c r="F188" s="14" t="s">
        <v>1608</v>
      </c>
      <c r="G188" s="14" t="s">
        <v>1609</v>
      </c>
      <c r="H188" s="14" t="s">
        <v>113</v>
      </c>
      <c r="I188" s="14" t="s">
        <v>84</v>
      </c>
      <c r="J188" s="18" t="s">
        <v>90</v>
      </c>
      <c r="K188" s="14" t="s">
        <v>97</v>
      </c>
      <c r="L188" s="14" t="s">
        <v>252</v>
      </c>
      <c r="M188" s="14" t="s">
        <v>1610</v>
      </c>
      <c r="N188" s="14" t="s">
        <v>1611</v>
      </c>
      <c r="O188" s="19" t="s">
        <v>1612</v>
      </c>
      <c r="P188" s="20" t="s">
        <v>145</v>
      </c>
      <c r="Q188" s="14" t="s">
        <v>146</v>
      </c>
      <c r="R188" s="14" t="s">
        <v>146</v>
      </c>
      <c r="S188" s="14" t="s">
        <v>1613</v>
      </c>
      <c r="T188" s="14" t="s">
        <v>1533</v>
      </c>
      <c r="U188" s="14" t="s">
        <v>146</v>
      </c>
    </row>
    <row r="189" ht="72" customHeight="1" spans="1:21" s="14" customFormat="1" x14ac:dyDescent="0.25">
      <c r="A189" s="14">
        <v>188</v>
      </c>
      <c r="B189" s="15" t="s">
        <v>136</v>
      </c>
      <c r="C189" s="16" t="s">
        <v>1614</v>
      </c>
      <c r="D189" s="29" t="s">
        <v>77</v>
      </c>
      <c r="E189" s="14" t="s">
        <v>1615</v>
      </c>
      <c r="F189" s="14" t="s">
        <v>1616</v>
      </c>
      <c r="G189" s="14" t="s">
        <v>1617</v>
      </c>
      <c r="H189" s="14" t="s">
        <v>111</v>
      </c>
      <c r="I189" s="14" t="s">
        <v>84</v>
      </c>
      <c r="J189" s="18" t="s">
        <v>90</v>
      </c>
      <c r="K189" s="14" t="s">
        <v>95</v>
      </c>
      <c r="L189" s="14" t="s">
        <v>252</v>
      </c>
      <c r="M189" s="14" t="s">
        <v>1618</v>
      </c>
      <c r="N189" s="14" t="s">
        <v>1619</v>
      </c>
      <c r="O189" s="19" t="s">
        <v>1604</v>
      </c>
      <c r="P189" s="20" t="s">
        <v>145</v>
      </c>
      <c r="Q189" s="14" t="s">
        <v>146</v>
      </c>
      <c r="R189" s="14" t="s">
        <v>146</v>
      </c>
      <c r="S189" s="14" t="s">
        <v>1620</v>
      </c>
      <c r="T189" s="14" t="s">
        <v>1533</v>
      </c>
      <c r="U189" s="14" t="s">
        <v>146</v>
      </c>
    </row>
    <row r="190" ht="72" customHeight="1" spans="1:21" s="14" customFormat="1" x14ac:dyDescent="0.25">
      <c r="A190" s="14">
        <v>189</v>
      </c>
      <c r="B190" s="15" t="s">
        <v>136</v>
      </c>
      <c r="C190" s="16" t="s">
        <v>1621</v>
      </c>
      <c r="D190" s="29" t="s">
        <v>77</v>
      </c>
      <c r="E190" s="14" t="s">
        <v>1622</v>
      </c>
      <c r="F190" s="14" t="s">
        <v>1623</v>
      </c>
      <c r="G190" s="14" t="s">
        <v>944</v>
      </c>
      <c r="H190" s="14" t="s">
        <v>113</v>
      </c>
      <c r="I190" s="14" t="s">
        <v>84</v>
      </c>
      <c r="J190" s="18" t="s">
        <v>90</v>
      </c>
      <c r="K190" s="14" t="s">
        <v>97</v>
      </c>
      <c r="L190" s="14" t="s">
        <v>252</v>
      </c>
      <c r="M190" s="14" t="s">
        <v>1624</v>
      </c>
      <c r="N190" s="14" t="s">
        <v>1625</v>
      </c>
      <c r="O190" s="19" t="s">
        <v>947</v>
      </c>
      <c r="P190" s="20" t="s">
        <v>145</v>
      </c>
      <c r="Q190" s="14" t="s">
        <v>146</v>
      </c>
      <c r="R190" s="14" t="s">
        <v>146</v>
      </c>
      <c r="S190" s="14" t="s">
        <v>1626</v>
      </c>
      <c r="T190" s="14" t="s">
        <v>1533</v>
      </c>
      <c r="U190" s="14" t="s">
        <v>146</v>
      </c>
    </row>
    <row r="191" ht="72" customHeight="1" spans="1:21" s="14" customFormat="1" x14ac:dyDescent="0.25">
      <c r="A191" s="14">
        <v>190</v>
      </c>
      <c r="B191" s="15" t="s">
        <v>136</v>
      </c>
      <c r="C191" s="16" t="s">
        <v>1627</v>
      </c>
      <c r="D191" s="29" t="s">
        <v>77</v>
      </c>
      <c r="E191" s="14" t="s">
        <v>1628</v>
      </c>
      <c r="F191" s="14" t="s">
        <v>1629</v>
      </c>
      <c r="G191" s="14" t="s">
        <v>1630</v>
      </c>
      <c r="H191" s="14" t="s">
        <v>113</v>
      </c>
      <c r="I191" s="22" t="s">
        <v>86</v>
      </c>
      <c r="J191" s="18" t="s">
        <v>90</v>
      </c>
      <c r="K191" s="14" t="s">
        <v>97</v>
      </c>
      <c r="L191" s="14" t="s">
        <v>252</v>
      </c>
      <c r="M191" s="14" t="s">
        <v>1631</v>
      </c>
      <c r="N191" s="14" t="s">
        <v>1632</v>
      </c>
      <c r="O191" s="19" t="s">
        <v>1633</v>
      </c>
      <c r="P191" s="20" t="s">
        <v>145</v>
      </c>
      <c r="Q191" s="14" t="s">
        <v>146</v>
      </c>
      <c r="R191" s="14" t="s">
        <v>146</v>
      </c>
      <c r="S191" s="14" t="s">
        <v>1634</v>
      </c>
      <c r="T191" s="14" t="s">
        <v>1533</v>
      </c>
      <c r="U191" s="14" t="s">
        <v>146</v>
      </c>
    </row>
    <row r="192" ht="72" customHeight="1" spans="1:21" s="14" customFormat="1" x14ac:dyDescent="0.25">
      <c r="A192" s="14">
        <v>191</v>
      </c>
      <c r="B192" s="15" t="s">
        <v>136</v>
      </c>
      <c r="C192" s="16" t="s">
        <v>1635</v>
      </c>
      <c r="D192" s="29" t="s">
        <v>77</v>
      </c>
      <c r="E192" s="14" t="s">
        <v>1636</v>
      </c>
      <c r="F192" s="14" t="s">
        <v>1637</v>
      </c>
      <c r="G192" s="14" t="s">
        <v>1638</v>
      </c>
      <c r="H192" s="14" t="s">
        <v>102</v>
      </c>
      <c r="I192" s="22" t="s">
        <v>80</v>
      </c>
      <c r="J192" s="18" t="s">
        <v>90</v>
      </c>
      <c r="K192" s="14" t="s">
        <v>97</v>
      </c>
      <c r="L192" s="14" t="s">
        <v>252</v>
      </c>
      <c r="M192" s="14" t="s">
        <v>1639</v>
      </c>
      <c r="N192" s="14" t="s">
        <v>1640</v>
      </c>
      <c r="O192" s="19" t="s">
        <v>1641</v>
      </c>
      <c r="P192" s="20" t="s">
        <v>145</v>
      </c>
      <c r="Q192" s="14" t="s">
        <v>146</v>
      </c>
      <c r="R192" s="14" t="s">
        <v>146</v>
      </c>
      <c r="S192" s="14" t="s">
        <v>1642</v>
      </c>
      <c r="T192" s="14" t="s">
        <v>1533</v>
      </c>
      <c r="U192" s="14" t="s">
        <v>146</v>
      </c>
    </row>
    <row r="193" ht="72" customHeight="1" spans="1:21" s="14" customFormat="1" x14ac:dyDescent="0.25">
      <c r="A193" s="14">
        <v>192</v>
      </c>
      <c r="B193" s="15" t="s">
        <v>136</v>
      </c>
      <c r="C193" s="16" t="s">
        <v>1643</v>
      </c>
      <c r="D193" s="29" t="s">
        <v>77</v>
      </c>
      <c r="E193" s="14" t="s">
        <v>1644</v>
      </c>
      <c r="F193" s="14" t="s">
        <v>1645</v>
      </c>
      <c r="G193" s="14" t="s">
        <v>1646</v>
      </c>
      <c r="H193" s="14" t="s">
        <v>111</v>
      </c>
      <c r="I193" s="14" t="s">
        <v>84</v>
      </c>
      <c r="J193" s="18" t="s">
        <v>90</v>
      </c>
      <c r="K193" s="14" t="s">
        <v>95</v>
      </c>
      <c r="L193" s="14" t="s">
        <v>1647</v>
      </c>
      <c r="M193" s="14" t="s">
        <v>1648</v>
      </c>
      <c r="N193" s="14" t="s">
        <v>1649</v>
      </c>
      <c r="O193" s="19" t="s">
        <v>1650</v>
      </c>
      <c r="P193" s="21" t="s">
        <v>136</v>
      </c>
      <c r="Q193" s="14" t="s">
        <v>146</v>
      </c>
      <c r="R193" s="14" t="s">
        <v>146</v>
      </c>
      <c r="S193" s="14" t="s">
        <v>1651</v>
      </c>
      <c r="T193" s="14" t="s">
        <v>1533</v>
      </c>
      <c r="U193" s="14" t="s">
        <v>146</v>
      </c>
    </row>
    <row r="194" ht="72" customHeight="1" spans="1:21" s="14" customFormat="1" x14ac:dyDescent="0.25">
      <c r="A194" s="14">
        <v>193</v>
      </c>
      <c r="B194" s="15" t="s">
        <v>136</v>
      </c>
      <c r="C194" s="16" t="s">
        <v>1652</v>
      </c>
      <c r="D194" s="29" t="s">
        <v>77</v>
      </c>
      <c r="E194" s="14" t="s">
        <v>1653</v>
      </c>
      <c r="F194" s="14" t="s">
        <v>1654</v>
      </c>
      <c r="G194" s="14" t="s">
        <v>1655</v>
      </c>
      <c r="H194" s="14" t="s">
        <v>111</v>
      </c>
      <c r="I194" s="14" t="s">
        <v>84</v>
      </c>
      <c r="J194" s="18" t="s">
        <v>90</v>
      </c>
      <c r="K194" s="14" t="s">
        <v>95</v>
      </c>
      <c r="L194" s="14" t="s">
        <v>1656</v>
      </c>
      <c r="M194" s="14" t="s">
        <v>1657</v>
      </c>
      <c r="N194" s="14" t="s">
        <v>1658</v>
      </c>
      <c r="O194" s="19" t="s">
        <v>1659</v>
      </c>
      <c r="P194" s="20" t="s">
        <v>145</v>
      </c>
      <c r="Q194" s="14" t="s">
        <v>146</v>
      </c>
      <c r="R194" s="14" t="s">
        <v>146</v>
      </c>
      <c r="S194" s="14" t="s">
        <v>1660</v>
      </c>
      <c r="T194" s="14" t="s">
        <v>1533</v>
      </c>
      <c r="U194" s="14" t="s">
        <v>146</v>
      </c>
    </row>
    <row r="195" ht="72" customHeight="1" spans="1:21" s="14" customFormat="1" x14ac:dyDescent="0.25">
      <c r="A195" s="14">
        <v>194</v>
      </c>
      <c r="B195" s="15" t="s">
        <v>136</v>
      </c>
      <c r="C195" s="16" t="s">
        <v>1661</v>
      </c>
      <c r="D195" s="29" t="s">
        <v>77</v>
      </c>
      <c r="E195" s="14" t="s">
        <v>1535</v>
      </c>
      <c r="F195" s="14" t="s">
        <v>1662</v>
      </c>
      <c r="G195" s="14" t="s">
        <v>1663</v>
      </c>
      <c r="H195" s="14" t="s">
        <v>113</v>
      </c>
      <c r="I195" s="14" t="s">
        <v>84</v>
      </c>
      <c r="J195" s="18" t="s">
        <v>90</v>
      </c>
      <c r="K195" s="14" t="s">
        <v>97</v>
      </c>
      <c r="L195" s="14" t="s">
        <v>1656</v>
      </c>
      <c r="M195" s="14" t="s">
        <v>1445</v>
      </c>
      <c r="N195" s="14" t="s">
        <v>1664</v>
      </c>
      <c r="O195" s="19" t="s">
        <v>255</v>
      </c>
      <c r="P195" s="20" t="s">
        <v>145</v>
      </c>
      <c r="Q195" s="14" t="s">
        <v>146</v>
      </c>
      <c r="R195" s="14" t="s">
        <v>146</v>
      </c>
      <c r="S195" s="14" t="s">
        <v>1665</v>
      </c>
      <c r="T195" s="14" t="s">
        <v>1533</v>
      </c>
      <c r="U195" s="14" t="s">
        <v>146</v>
      </c>
    </row>
    <row r="196" ht="72" customHeight="1" spans="1:21" s="14" customFormat="1" x14ac:dyDescent="0.25">
      <c r="A196" s="14">
        <v>195</v>
      </c>
      <c r="B196" s="15" t="s">
        <v>136</v>
      </c>
      <c r="C196" s="16" t="s">
        <v>1666</v>
      </c>
      <c r="D196" s="29" t="s">
        <v>77</v>
      </c>
      <c r="E196" s="14" t="s">
        <v>1667</v>
      </c>
      <c r="F196" s="14" t="s">
        <v>1668</v>
      </c>
      <c r="G196" s="14" t="s">
        <v>1669</v>
      </c>
      <c r="H196" s="14" t="s">
        <v>113</v>
      </c>
      <c r="I196" s="22" t="s">
        <v>80</v>
      </c>
      <c r="J196" s="18" t="s">
        <v>90</v>
      </c>
      <c r="K196" s="14" t="s">
        <v>97</v>
      </c>
      <c r="L196" s="14" t="s">
        <v>1656</v>
      </c>
      <c r="M196" s="14" t="s">
        <v>1670</v>
      </c>
      <c r="N196" s="14" t="s">
        <v>1671</v>
      </c>
      <c r="O196" s="19" t="s">
        <v>1672</v>
      </c>
      <c r="P196" s="20" t="s">
        <v>145</v>
      </c>
      <c r="Q196" s="14" t="s">
        <v>146</v>
      </c>
      <c r="R196" s="14" t="s">
        <v>146</v>
      </c>
      <c r="S196" s="14" t="s">
        <v>1673</v>
      </c>
      <c r="T196" s="14" t="s">
        <v>1533</v>
      </c>
      <c r="U196" s="14" t="s">
        <v>146</v>
      </c>
    </row>
    <row r="197" ht="72" customHeight="1" spans="1:21" s="14" customFormat="1" x14ac:dyDescent="0.25">
      <c r="A197" s="14">
        <v>196</v>
      </c>
      <c r="B197" s="15" t="s">
        <v>136</v>
      </c>
      <c r="C197" s="16" t="s">
        <v>1674</v>
      </c>
      <c r="D197" s="29" t="s">
        <v>77</v>
      </c>
      <c r="E197" s="14" t="s">
        <v>1675</v>
      </c>
      <c r="F197" s="14" t="s">
        <v>1676</v>
      </c>
      <c r="G197" s="14" t="s">
        <v>1677</v>
      </c>
      <c r="H197" s="14" t="s">
        <v>111</v>
      </c>
      <c r="I197" s="14" t="s">
        <v>84</v>
      </c>
      <c r="J197" s="18" t="s">
        <v>90</v>
      </c>
      <c r="K197" s="14" t="s">
        <v>95</v>
      </c>
      <c r="L197" s="14" t="s">
        <v>1656</v>
      </c>
      <c r="M197" s="14" t="s">
        <v>1678</v>
      </c>
      <c r="N197" s="14" t="s">
        <v>1679</v>
      </c>
      <c r="O197" s="19" t="s">
        <v>1680</v>
      </c>
      <c r="P197" s="21" t="s">
        <v>136</v>
      </c>
      <c r="Q197" s="14" t="s">
        <v>146</v>
      </c>
      <c r="R197" s="14" t="s">
        <v>146</v>
      </c>
      <c r="S197" s="14" t="s">
        <v>1681</v>
      </c>
      <c r="T197" s="14" t="s">
        <v>1533</v>
      </c>
      <c r="U197" s="14" t="s">
        <v>146</v>
      </c>
    </row>
    <row r="198" ht="72" customHeight="1" spans="1:21" s="14" customFormat="1" x14ac:dyDescent="0.25">
      <c r="A198" s="14">
        <v>197</v>
      </c>
      <c r="B198" s="15" t="s">
        <v>136</v>
      </c>
      <c r="C198" s="16" t="s">
        <v>1682</v>
      </c>
      <c r="D198" s="29" t="s">
        <v>77</v>
      </c>
      <c r="E198" s="14" t="s">
        <v>1683</v>
      </c>
      <c r="F198" s="14" t="s">
        <v>1684</v>
      </c>
      <c r="G198" s="14" t="s">
        <v>1685</v>
      </c>
      <c r="H198" s="14" t="s">
        <v>111</v>
      </c>
      <c r="I198" s="14" t="s">
        <v>84</v>
      </c>
      <c r="J198" s="18" t="s">
        <v>90</v>
      </c>
      <c r="K198" s="14" t="s">
        <v>95</v>
      </c>
      <c r="L198" s="14" t="s">
        <v>1686</v>
      </c>
      <c r="M198" s="14" t="s">
        <v>1687</v>
      </c>
      <c r="N198" s="14" t="s">
        <v>1688</v>
      </c>
      <c r="O198" s="19" t="s">
        <v>1689</v>
      </c>
      <c r="P198" s="20" t="s">
        <v>145</v>
      </c>
      <c r="Q198" s="14" t="s">
        <v>146</v>
      </c>
      <c r="R198" s="14" t="s">
        <v>146</v>
      </c>
      <c r="S198" s="14" t="s">
        <v>1690</v>
      </c>
      <c r="T198" s="14" t="s">
        <v>1533</v>
      </c>
      <c r="U198" s="14" t="s">
        <v>146</v>
      </c>
    </row>
    <row r="199" ht="72" customHeight="1" spans="1:21" s="14" customFormat="1" x14ac:dyDescent="0.25">
      <c r="A199" s="14">
        <v>198</v>
      </c>
      <c r="B199" s="15" t="s">
        <v>136</v>
      </c>
      <c r="C199" s="16" t="s">
        <v>1691</v>
      </c>
      <c r="D199" s="29" t="s">
        <v>77</v>
      </c>
      <c r="E199" s="14" t="s">
        <v>1692</v>
      </c>
      <c r="F199" s="14" t="s">
        <v>1693</v>
      </c>
      <c r="G199" s="14" t="s">
        <v>1694</v>
      </c>
      <c r="H199" s="14" t="s">
        <v>113</v>
      </c>
      <c r="I199" s="14" t="s">
        <v>84</v>
      </c>
      <c r="J199" s="18" t="s">
        <v>90</v>
      </c>
      <c r="K199" s="14" t="s">
        <v>97</v>
      </c>
      <c r="L199" s="14" t="s">
        <v>1686</v>
      </c>
      <c r="M199" s="14" t="s">
        <v>1695</v>
      </c>
      <c r="N199" s="14" t="s">
        <v>1696</v>
      </c>
      <c r="O199" s="19" t="s">
        <v>1265</v>
      </c>
      <c r="P199" s="20" t="s">
        <v>145</v>
      </c>
      <c r="Q199" s="14" t="s">
        <v>146</v>
      </c>
      <c r="R199" s="14" t="s">
        <v>146</v>
      </c>
      <c r="S199" s="14" t="s">
        <v>1697</v>
      </c>
      <c r="T199" s="14" t="s">
        <v>1533</v>
      </c>
      <c r="U199" s="14" t="s">
        <v>146</v>
      </c>
    </row>
    <row r="200" ht="72" customHeight="1" spans="1:21" s="14" customFormat="1" x14ac:dyDescent="0.25">
      <c r="A200" s="14">
        <v>199</v>
      </c>
      <c r="B200" s="15" t="s">
        <v>136</v>
      </c>
      <c r="C200" s="16" t="s">
        <v>1698</v>
      </c>
      <c r="D200" s="29" t="s">
        <v>77</v>
      </c>
      <c r="E200" s="14" t="s">
        <v>1699</v>
      </c>
      <c r="F200" s="14" t="s">
        <v>1700</v>
      </c>
      <c r="G200" s="14" t="s">
        <v>1701</v>
      </c>
      <c r="H200" s="14" t="s">
        <v>113</v>
      </c>
      <c r="I200" s="24" t="s">
        <v>26</v>
      </c>
      <c r="J200" s="18" t="s">
        <v>90</v>
      </c>
      <c r="K200" s="14" t="s">
        <v>97</v>
      </c>
      <c r="L200" s="14" t="s">
        <v>252</v>
      </c>
      <c r="M200" s="14" t="s">
        <v>1702</v>
      </c>
      <c r="N200" s="14" t="s">
        <v>1703</v>
      </c>
      <c r="O200" s="19" t="s">
        <v>1011</v>
      </c>
      <c r="P200" s="20" t="s">
        <v>145</v>
      </c>
      <c r="Q200" s="14" t="s">
        <v>684</v>
      </c>
      <c r="R200" s="14" t="s">
        <v>385</v>
      </c>
      <c r="S200" s="14" t="s">
        <v>1704</v>
      </c>
      <c r="T200" s="14" t="s">
        <v>1533</v>
      </c>
      <c r="U200" s="14" t="s">
        <v>146</v>
      </c>
    </row>
    <row r="201" ht="72" customHeight="1" spans="1:21" s="14" customFormat="1" x14ac:dyDescent="0.25">
      <c r="A201" s="14">
        <v>200</v>
      </c>
      <c r="B201" s="15" t="s">
        <v>136</v>
      </c>
      <c r="C201" s="16" t="s">
        <v>1705</v>
      </c>
      <c r="D201" s="29" t="s">
        <v>77</v>
      </c>
      <c r="E201" s="14" t="s">
        <v>1706</v>
      </c>
      <c r="F201" s="14" t="s">
        <v>1707</v>
      </c>
      <c r="G201" s="14" t="s">
        <v>1488</v>
      </c>
      <c r="H201" s="14" t="s">
        <v>113</v>
      </c>
      <c r="I201" s="24" t="s">
        <v>26</v>
      </c>
      <c r="J201" s="18" t="s">
        <v>90</v>
      </c>
      <c r="K201" s="14" t="s">
        <v>97</v>
      </c>
      <c r="L201" s="14" t="s">
        <v>252</v>
      </c>
      <c r="M201" s="14" t="s">
        <v>1708</v>
      </c>
      <c r="N201" s="14" t="s">
        <v>1490</v>
      </c>
      <c r="O201" s="19" t="s">
        <v>443</v>
      </c>
      <c r="P201" s="20" t="s">
        <v>145</v>
      </c>
      <c r="Q201" s="14" t="s">
        <v>692</v>
      </c>
      <c r="R201" s="14" t="s">
        <v>385</v>
      </c>
      <c r="S201" s="14" t="s">
        <v>1709</v>
      </c>
      <c r="T201" s="14" t="s">
        <v>1533</v>
      </c>
      <c r="U201" s="14" t="s">
        <v>146</v>
      </c>
    </row>
    <row r="202" ht="72" customHeight="1" spans="1:21" s="14" customFormat="1" x14ac:dyDescent="0.25">
      <c r="A202" s="14">
        <v>201</v>
      </c>
      <c r="B202" s="15" t="s">
        <v>136</v>
      </c>
      <c r="C202" s="16" t="s">
        <v>1710</v>
      </c>
      <c r="D202" s="29" t="s">
        <v>77</v>
      </c>
      <c r="E202" s="14" t="s">
        <v>1711</v>
      </c>
      <c r="F202" s="14" t="s">
        <v>1494</v>
      </c>
      <c r="G202" s="14" t="s">
        <v>1712</v>
      </c>
      <c r="H202" s="14" t="s">
        <v>113</v>
      </c>
      <c r="I202" s="24" t="s">
        <v>26</v>
      </c>
      <c r="J202" s="18" t="s">
        <v>90</v>
      </c>
      <c r="K202" s="14" t="s">
        <v>97</v>
      </c>
      <c r="L202" s="14" t="s">
        <v>252</v>
      </c>
      <c r="M202" s="14" t="s">
        <v>1496</v>
      </c>
      <c r="N202" s="14" t="s">
        <v>1497</v>
      </c>
      <c r="O202" s="19" t="s">
        <v>452</v>
      </c>
      <c r="P202" s="20" t="s">
        <v>145</v>
      </c>
      <c r="Q202" s="14" t="s">
        <v>701</v>
      </c>
      <c r="R202" s="14" t="s">
        <v>454</v>
      </c>
      <c r="S202" s="14" t="s">
        <v>1713</v>
      </c>
      <c r="T202" s="14" t="s">
        <v>1533</v>
      </c>
      <c r="U202" s="14" t="s">
        <v>146</v>
      </c>
    </row>
    <row r="203" ht="72" customHeight="1" spans="1:21" s="14" customFormat="1" x14ac:dyDescent="0.25">
      <c r="A203" s="14">
        <v>202</v>
      </c>
      <c r="B203" s="15" t="s">
        <v>136</v>
      </c>
      <c r="C203" s="16" t="s">
        <v>1714</v>
      </c>
      <c r="D203" s="29" t="s">
        <v>77</v>
      </c>
      <c r="E203" s="14" t="s">
        <v>1715</v>
      </c>
      <c r="F203" s="14" t="s">
        <v>1716</v>
      </c>
      <c r="G203" s="14" t="s">
        <v>1717</v>
      </c>
      <c r="H203" s="14" t="s">
        <v>113</v>
      </c>
      <c r="I203" s="24" t="s">
        <v>26</v>
      </c>
      <c r="J203" s="18" t="s">
        <v>90</v>
      </c>
      <c r="K203" s="14" t="s">
        <v>97</v>
      </c>
      <c r="L203" s="14" t="s">
        <v>252</v>
      </c>
      <c r="M203" s="14" t="s">
        <v>1718</v>
      </c>
      <c r="N203" s="14" t="s">
        <v>1719</v>
      </c>
      <c r="O203" s="19" t="s">
        <v>1032</v>
      </c>
      <c r="P203" s="20" t="s">
        <v>145</v>
      </c>
      <c r="Q203" s="14" t="s">
        <v>709</v>
      </c>
      <c r="R203" s="14" t="s">
        <v>464</v>
      </c>
      <c r="S203" s="14" t="s">
        <v>1720</v>
      </c>
      <c r="T203" s="14" t="s">
        <v>1533</v>
      </c>
      <c r="U203" s="14" t="s">
        <v>146</v>
      </c>
    </row>
    <row r="204" ht="72" customHeight="1" spans="1:21" s="14" customFormat="1" x14ac:dyDescent="0.25">
      <c r="A204" s="14">
        <v>203</v>
      </c>
      <c r="B204" s="15" t="s">
        <v>136</v>
      </c>
      <c r="C204" s="16" t="s">
        <v>1721</v>
      </c>
      <c r="D204" s="29" t="s">
        <v>77</v>
      </c>
      <c r="E204" s="14" t="s">
        <v>1722</v>
      </c>
      <c r="F204" s="14" t="s">
        <v>1723</v>
      </c>
      <c r="G204" s="14" t="s">
        <v>1037</v>
      </c>
      <c r="H204" s="14" t="s">
        <v>113</v>
      </c>
      <c r="I204" s="24" t="s">
        <v>26</v>
      </c>
      <c r="J204" s="18" t="s">
        <v>90</v>
      </c>
      <c r="K204" s="14" t="s">
        <v>97</v>
      </c>
      <c r="L204" s="14" t="s">
        <v>252</v>
      </c>
      <c r="M204" s="14" t="s">
        <v>1724</v>
      </c>
      <c r="N204" s="14" t="s">
        <v>1725</v>
      </c>
      <c r="O204" s="19" t="s">
        <v>1726</v>
      </c>
      <c r="P204" s="20" t="s">
        <v>145</v>
      </c>
      <c r="Q204" s="14" t="s">
        <v>727</v>
      </c>
      <c r="R204" s="14" t="s">
        <v>475</v>
      </c>
      <c r="S204" s="14" t="s">
        <v>1727</v>
      </c>
      <c r="T204" s="14" t="s">
        <v>1533</v>
      </c>
      <c r="U204" s="14" t="s">
        <v>146</v>
      </c>
    </row>
    <row r="205" ht="72" customHeight="1" spans="1:21" s="14" customFormat="1" x14ac:dyDescent="0.25">
      <c r="A205" s="14">
        <v>204</v>
      </c>
      <c r="B205" s="15" t="s">
        <v>136</v>
      </c>
      <c r="C205" s="16" t="s">
        <v>1728</v>
      </c>
      <c r="D205" s="29" t="s">
        <v>77</v>
      </c>
      <c r="E205" s="14" t="s">
        <v>1729</v>
      </c>
      <c r="F205" s="14" t="s">
        <v>1730</v>
      </c>
      <c r="G205" s="14" t="s">
        <v>1731</v>
      </c>
      <c r="H205" s="14" t="s">
        <v>113</v>
      </c>
      <c r="I205" s="24" t="s">
        <v>26</v>
      </c>
      <c r="J205" s="18" t="s">
        <v>90</v>
      </c>
      <c r="K205" s="14" t="s">
        <v>97</v>
      </c>
      <c r="L205" s="14" t="s">
        <v>252</v>
      </c>
      <c r="M205" s="14" t="s">
        <v>1732</v>
      </c>
      <c r="N205" s="14" t="s">
        <v>1733</v>
      </c>
      <c r="O205" s="19" t="s">
        <v>1734</v>
      </c>
      <c r="P205" s="20" t="s">
        <v>145</v>
      </c>
      <c r="Q205" s="14" t="s">
        <v>1735</v>
      </c>
      <c r="R205" s="14" t="s">
        <v>1736</v>
      </c>
      <c r="S205" s="14" t="s">
        <v>1737</v>
      </c>
      <c r="T205" s="14" t="s">
        <v>1533</v>
      </c>
      <c r="U205" s="14" t="s">
        <v>146</v>
      </c>
    </row>
    <row r="206" ht="72" customHeight="1" spans="1:21" s="14" customFormat="1" x14ac:dyDescent="0.25">
      <c r="A206" s="14">
        <v>205</v>
      </c>
      <c r="B206" s="15" t="s">
        <v>136</v>
      </c>
      <c r="C206" s="16" t="s">
        <v>1738</v>
      </c>
      <c r="D206" s="29" t="s">
        <v>77</v>
      </c>
      <c r="E206" s="14" t="s">
        <v>1739</v>
      </c>
      <c r="F206" s="14" t="s">
        <v>1740</v>
      </c>
      <c r="G206" s="14" t="s">
        <v>1741</v>
      </c>
      <c r="H206" s="14" t="s">
        <v>111</v>
      </c>
      <c r="I206" s="22" t="s">
        <v>86</v>
      </c>
      <c r="J206" s="18" t="s">
        <v>90</v>
      </c>
      <c r="K206" s="14" t="s">
        <v>95</v>
      </c>
      <c r="L206" s="14" t="s">
        <v>1742</v>
      </c>
      <c r="M206" s="14" t="s">
        <v>1743</v>
      </c>
      <c r="N206" s="14" t="s">
        <v>1744</v>
      </c>
      <c r="O206" s="19" t="s">
        <v>495</v>
      </c>
      <c r="P206" s="21" t="s">
        <v>136</v>
      </c>
      <c r="Q206" s="14" t="s">
        <v>146</v>
      </c>
      <c r="R206" s="14" t="s">
        <v>146</v>
      </c>
      <c r="S206" s="14" t="s">
        <v>1745</v>
      </c>
      <c r="T206" s="14" t="s">
        <v>1533</v>
      </c>
      <c r="U206" s="14" t="s">
        <v>146</v>
      </c>
    </row>
    <row r="207" ht="72" customHeight="1" spans="1:21" s="14" customFormat="1" x14ac:dyDescent="0.25">
      <c r="A207" s="14">
        <v>206</v>
      </c>
      <c r="B207" s="15" t="s">
        <v>136</v>
      </c>
      <c r="C207" s="16" t="s">
        <v>1746</v>
      </c>
      <c r="D207" s="17" t="s">
        <v>73</v>
      </c>
      <c r="E207" s="14" t="s">
        <v>1747</v>
      </c>
      <c r="F207" s="14" t="s">
        <v>1748</v>
      </c>
      <c r="G207" s="14" t="s">
        <v>1749</v>
      </c>
      <c r="H207" s="14" t="s">
        <v>113</v>
      </c>
      <c r="I207" s="14" t="s">
        <v>84</v>
      </c>
      <c r="J207" s="18" t="s">
        <v>90</v>
      </c>
      <c r="K207" s="14" t="s">
        <v>97</v>
      </c>
      <c r="L207" s="14" t="s">
        <v>1750</v>
      </c>
      <c r="M207" s="14" t="s">
        <v>1751</v>
      </c>
      <c r="N207" s="14" t="s">
        <v>1752</v>
      </c>
      <c r="O207" s="19" t="s">
        <v>1753</v>
      </c>
      <c r="P207" s="20" t="s">
        <v>145</v>
      </c>
      <c r="Q207" s="14" t="s">
        <v>146</v>
      </c>
      <c r="R207" s="14" t="s">
        <v>146</v>
      </c>
      <c r="S207" s="14" t="s">
        <v>1754</v>
      </c>
      <c r="T207" s="14" t="s">
        <v>1755</v>
      </c>
      <c r="U207" s="14" t="s">
        <v>1756</v>
      </c>
    </row>
    <row r="208" ht="72" customHeight="1" spans="1:21" s="14" customFormat="1" x14ac:dyDescent="0.25">
      <c r="A208" s="14">
        <v>207</v>
      </c>
      <c r="B208" s="15" t="s">
        <v>136</v>
      </c>
      <c r="C208" s="16" t="s">
        <v>1757</v>
      </c>
      <c r="D208" s="17" t="s">
        <v>73</v>
      </c>
      <c r="E208" s="14" t="s">
        <v>1758</v>
      </c>
      <c r="F208" s="14" t="s">
        <v>1759</v>
      </c>
      <c r="G208" s="14" t="s">
        <v>1760</v>
      </c>
      <c r="H208" s="14" t="s">
        <v>113</v>
      </c>
      <c r="I208" s="14" t="s">
        <v>84</v>
      </c>
      <c r="J208" s="18" t="s">
        <v>90</v>
      </c>
      <c r="K208" s="14" t="s">
        <v>97</v>
      </c>
      <c r="L208" s="14" t="s">
        <v>1750</v>
      </c>
      <c r="M208" s="14" t="s">
        <v>1761</v>
      </c>
      <c r="N208" s="14" t="s">
        <v>1762</v>
      </c>
      <c r="O208" s="19" t="s">
        <v>1763</v>
      </c>
      <c r="P208" s="20" t="s">
        <v>145</v>
      </c>
      <c r="Q208" s="14" t="s">
        <v>146</v>
      </c>
      <c r="R208" s="14" t="s">
        <v>146</v>
      </c>
      <c r="S208" s="14" t="s">
        <v>1764</v>
      </c>
      <c r="T208" s="14" t="s">
        <v>1755</v>
      </c>
      <c r="U208" s="14" t="s">
        <v>1756</v>
      </c>
    </row>
    <row r="209" ht="72" customHeight="1" spans="1:21" s="14" customFormat="1" x14ac:dyDescent="0.25">
      <c r="A209" s="14">
        <v>208</v>
      </c>
      <c r="B209" s="15" t="s">
        <v>136</v>
      </c>
      <c r="C209" s="16" t="s">
        <v>1765</v>
      </c>
      <c r="D209" s="17" t="s">
        <v>73</v>
      </c>
      <c r="E209" s="14" t="s">
        <v>1766</v>
      </c>
      <c r="F209" s="14" t="s">
        <v>1767</v>
      </c>
      <c r="G209" s="14" t="s">
        <v>1768</v>
      </c>
      <c r="H209" s="14" t="s">
        <v>113</v>
      </c>
      <c r="I209" s="14" t="s">
        <v>84</v>
      </c>
      <c r="J209" s="18" t="s">
        <v>90</v>
      </c>
      <c r="K209" s="14" t="s">
        <v>97</v>
      </c>
      <c r="L209" s="14" t="s">
        <v>1750</v>
      </c>
      <c r="M209" s="14" t="s">
        <v>1769</v>
      </c>
      <c r="N209" s="14" t="s">
        <v>1770</v>
      </c>
      <c r="O209" s="19" t="s">
        <v>1771</v>
      </c>
      <c r="P209" s="20" t="s">
        <v>145</v>
      </c>
      <c r="Q209" s="14" t="s">
        <v>146</v>
      </c>
      <c r="R209" s="14" t="s">
        <v>146</v>
      </c>
      <c r="S209" s="14" t="s">
        <v>1772</v>
      </c>
      <c r="T209" s="14" t="s">
        <v>1755</v>
      </c>
      <c r="U209" s="14" t="s">
        <v>1756</v>
      </c>
    </row>
    <row r="210" ht="72" customHeight="1" spans="1:21" s="14" customFormat="1" x14ac:dyDescent="0.25">
      <c r="A210" s="14">
        <v>209</v>
      </c>
      <c r="B210" s="15" t="s">
        <v>136</v>
      </c>
      <c r="C210" s="16" t="s">
        <v>1773</v>
      </c>
      <c r="D210" s="17" t="s">
        <v>73</v>
      </c>
      <c r="E210" s="14" t="s">
        <v>1774</v>
      </c>
      <c r="F210" s="14" t="s">
        <v>1775</v>
      </c>
      <c r="G210" s="14" t="s">
        <v>1776</v>
      </c>
      <c r="H210" s="14" t="s">
        <v>113</v>
      </c>
      <c r="I210" s="14" t="s">
        <v>84</v>
      </c>
      <c r="J210" s="18" t="s">
        <v>90</v>
      </c>
      <c r="K210" s="14" t="s">
        <v>97</v>
      </c>
      <c r="L210" s="14" t="s">
        <v>1750</v>
      </c>
      <c r="M210" s="14" t="s">
        <v>1777</v>
      </c>
      <c r="N210" s="14" t="s">
        <v>1778</v>
      </c>
      <c r="O210" s="19" t="s">
        <v>1779</v>
      </c>
      <c r="P210" s="20" t="s">
        <v>145</v>
      </c>
      <c r="Q210" s="14" t="s">
        <v>146</v>
      </c>
      <c r="R210" s="14" t="s">
        <v>146</v>
      </c>
      <c r="S210" s="14" t="s">
        <v>1780</v>
      </c>
      <c r="T210" s="14" t="s">
        <v>1755</v>
      </c>
      <c r="U210" s="14" t="s">
        <v>1756</v>
      </c>
    </row>
    <row r="211" ht="72" customHeight="1" spans="1:21" s="14" customFormat="1" x14ac:dyDescent="0.25">
      <c r="A211" s="14">
        <v>210</v>
      </c>
      <c r="B211" s="15" t="s">
        <v>136</v>
      </c>
      <c r="C211" s="16" t="s">
        <v>1781</v>
      </c>
      <c r="D211" s="17" t="s">
        <v>73</v>
      </c>
      <c r="E211" s="14" t="s">
        <v>1782</v>
      </c>
      <c r="F211" s="14" t="s">
        <v>1783</v>
      </c>
      <c r="G211" s="14" t="s">
        <v>1784</v>
      </c>
      <c r="H211" s="14" t="s">
        <v>113</v>
      </c>
      <c r="I211" s="14" t="s">
        <v>84</v>
      </c>
      <c r="J211" s="18" t="s">
        <v>90</v>
      </c>
      <c r="K211" s="14" t="s">
        <v>97</v>
      </c>
      <c r="L211" s="14" t="s">
        <v>1750</v>
      </c>
      <c r="M211" s="14" t="s">
        <v>1785</v>
      </c>
      <c r="N211" s="14" t="s">
        <v>1786</v>
      </c>
      <c r="O211" s="19" t="s">
        <v>1787</v>
      </c>
      <c r="P211" s="20" t="s">
        <v>145</v>
      </c>
      <c r="Q211" s="14" t="s">
        <v>146</v>
      </c>
      <c r="R211" s="14" t="s">
        <v>146</v>
      </c>
      <c r="S211" s="14" t="s">
        <v>1788</v>
      </c>
      <c r="T211" s="14" t="s">
        <v>1755</v>
      </c>
      <c r="U211" s="14" t="s">
        <v>1756</v>
      </c>
    </row>
    <row r="212" ht="72" customHeight="1" spans="1:21" s="14" customFormat="1" x14ac:dyDescent="0.25">
      <c r="A212" s="14">
        <v>211</v>
      </c>
      <c r="B212" s="15" t="s">
        <v>136</v>
      </c>
      <c r="C212" s="16" t="s">
        <v>1789</v>
      </c>
      <c r="D212" s="17" t="s">
        <v>73</v>
      </c>
      <c r="E212" s="14" t="s">
        <v>1790</v>
      </c>
      <c r="F212" s="14" t="s">
        <v>1791</v>
      </c>
      <c r="G212" s="14" t="s">
        <v>1792</v>
      </c>
      <c r="H212" s="14" t="s">
        <v>113</v>
      </c>
      <c r="I212" s="14" t="s">
        <v>84</v>
      </c>
      <c r="J212" s="18" t="s">
        <v>90</v>
      </c>
      <c r="K212" s="14" t="s">
        <v>97</v>
      </c>
      <c r="L212" s="14" t="s">
        <v>1750</v>
      </c>
      <c r="M212" s="14" t="s">
        <v>1793</v>
      </c>
      <c r="N212" s="14" t="s">
        <v>1794</v>
      </c>
      <c r="O212" s="19" t="s">
        <v>1795</v>
      </c>
      <c r="P212" s="20" t="s">
        <v>145</v>
      </c>
      <c r="Q212" s="14" t="s">
        <v>146</v>
      </c>
      <c r="R212" s="14" t="s">
        <v>146</v>
      </c>
      <c r="S212" s="14" t="s">
        <v>1796</v>
      </c>
      <c r="T212" s="14" t="s">
        <v>1755</v>
      </c>
      <c r="U212" s="14" t="s">
        <v>1756</v>
      </c>
    </row>
    <row r="213" ht="72" customHeight="1" spans="1:21" s="14" customFormat="1" x14ac:dyDescent="0.25">
      <c r="A213" s="14">
        <v>212</v>
      </c>
      <c r="B213" s="15" t="s">
        <v>136</v>
      </c>
      <c r="C213" s="16" t="s">
        <v>1797</v>
      </c>
      <c r="D213" s="17" t="s">
        <v>73</v>
      </c>
      <c r="E213" s="14" t="s">
        <v>1798</v>
      </c>
      <c r="F213" s="14" t="s">
        <v>1799</v>
      </c>
      <c r="G213" s="14" t="s">
        <v>1800</v>
      </c>
      <c r="H213" s="14" t="s">
        <v>113</v>
      </c>
      <c r="I213" s="14" t="s">
        <v>84</v>
      </c>
      <c r="J213" s="18" t="s">
        <v>90</v>
      </c>
      <c r="K213" s="14" t="s">
        <v>97</v>
      </c>
      <c r="L213" s="14" t="s">
        <v>1750</v>
      </c>
      <c r="M213" s="14" t="s">
        <v>1801</v>
      </c>
      <c r="N213" s="14" t="s">
        <v>1802</v>
      </c>
      <c r="O213" s="19" t="s">
        <v>1803</v>
      </c>
      <c r="P213" s="20" t="s">
        <v>145</v>
      </c>
      <c r="Q213" s="14" t="s">
        <v>146</v>
      </c>
      <c r="R213" s="14" t="s">
        <v>146</v>
      </c>
      <c r="S213" s="14" t="s">
        <v>1804</v>
      </c>
      <c r="T213" s="14" t="s">
        <v>1755</v>
      </c>
      <c r="U213" s="14" t="s">
        <v>1756</v>
      </c>
    </row>
    <row r="214" ht="72" customHeight="1" spans="1:21" s="14" customFormat="1" x14ac:dyDescent="0.25">
      <c r="A214" s="14">
        <v>213</v>
      </c>
      <c r="B214" s="15" t="s">
        <v>136</v>
      </c>
      <c r="C214" s="16" t="s">
        <v>1805</v>
      </c>
      <c r="D214" s="17" t="s">
        <v>73</v>
      </c>
      <c r="E214" s="14" t="s">
        <v>1806</v>
      </c>
      <c r="F214" s="14" t="s">
        <v>1807</v>
      </c>
      <c r="G214" s="14" t="s">
        <v>1808</v>
      </c>
      <c r="H214" s="14" t="s">
        <v>113</v>
      </c>
      <c r="I214" s="14" t="s">
        <v>84</v>
      </c>
      <c r="J214" s="18" t="s">
        <v>90</v>
      </c>
      <c r="K214" s="14" t="s">
        <v>97</v>
      </c>
      <c r="L214" s="14" t="s">
        <v>1750</v>
      </c>
      <c r="M214" s="14" t="s">
        <v>1809</v>
      </c>
      <c r="N214" s="14" t="s">
        <v>1810</v>
      </c>
      <c r="O214" s="19" t="s">
        <v>1811</v>
      </c>
      <c r="P214" s="20" t="s">
        <v>145</v>
      </c>
      <c r="Q214" s="14" t="s">
        <v>146</v>
      </c>
      <c r="R214" s="14" t="s">
        <v>146</v>
      </c>
      <c r="S214" s="14" t="s">
        <v>1812</v>
      </c>
      <c r="T214" s="14" t="s">
        <v>1755</v>
      </c>
      <c r="U214" s="14" t="s">
        <v>1756</v>
      </c>
    </row>
    <row r="215" ht="72" customHeight="1" spans="1:21" s="14" customFormat="1" x14ac:dyDescent="0.25">
      <c r="A215" s="14">
        <v>214</v>
      </c>
      <c r="B215" s="15" t="s">
        <v>136</v>
      </c>
      <c r="C215" s="16" t="s">
        <v>1813</v>
      </c>
      <c r="D215" s="17" t="s">
        <v>73</v>
      </c>
      <c r="E215" s="14" t="s">
        <v>1814</v>
      </c>
      <c r="F215" s="14" t="s">
        <v>1815</v>
      </c>
      <c r="G215" s="14" t="s">
        <v>1816</v>
      </c>
      <c r="H215" s="14" t="s">
        <v>113</v>
      </c>
      <c r="I215" s="14" t="s">
        <v>84</v>
      </c>
      <c r="J215" s="18" t="s">
        <v>90</v>
      </c>
      <c r="K215" s="14" t="s">
        <v>97</v>
      </c>
      <c r="L215" s="14" t="s">
        <v>1750</v>
      </c>
      <c r="M215" s="14" t="s">
        <v>1817</v>
      </c>
      <c r="N215" s="14" t="s">
        <v>1818</v>
      </c>
      <c r="O215" s="19" t="s">
        <v>1819</v>
      </c>
      <c r="P215" s="20" t="s">
        <v>145</v>
      </c>
      <c r="Q215" s="14" t="s">
        <v>146</v>
      </c>
      <c r="R215" s="14" t="s">
        <v>146</v>
      </c>
      <c r="S215" s="14" t="s">
        <v>1820</v>
      </c>
      <c r="T215" s="14" t="s">
        <v>1755</v>
      </c>
      <c r="U215" s="14" t="s">
        <v>1821</v>
      </c>
    </row>
    <row r="216" ht="72" customHeight="1" spans="1:21" s="14" customFormat="1" x14ac:dyDescent="0.25">
      <c r="A216" s="14">
        <v>215</v>
      </c>
      <c r="B216" s="15" t="s">
        <v>136</v>
      </c>
      <c r="C216" s="16" t="s">
        <v>1822</v>
      </c>
      <c r="D216" s="17" t="s">
        <v>73</v>
      </c>
      <c r="E216" s="14" t="s">
        <v>1823</v>
      </c>
      <c r="F216" s="14" t="s">
        <v>1824</v>
      </c>
      <c r="G216" s="14" t="s">
        <v>1825</v>
      </c>
      <c r="H216" s="14" t="s">
        <v>113</v>
      </c>
      <c r="I216" s="22" t="s">
        <v>80</v>
      </c>
      <c r="J216" s="18" t="s">
        <v>90</v>
      </c>
      <c r="K216" s="14" t="s">
        <v>97</v>
      </c>
      <c r="L216" s="14" t="s">
        <v>1750</v>
      </c>
      <c r="M216" s="14" t="s">
        <v>1826</v>
      </c>
      <c r="N216" s="14" t="s">
        <v>1827</v>
      </c>
      <c r="O216" s="19" t="s">
        <v>1828</v>
      </c>
      <c r="P216" s="20" t="s">
        <v>145</v>
      </c>
      <c r="Q216" s="14" t="s">
        <v>146</v>
      </c>
      <c r="R216" s="14" t="s">
        <v>146</v>
      </c>
      <c r="S216" s="14" t="s">
        <v>1829</v>
      </c>
      <c r="T216" s="14" t="s">
        <v>1755</v>
      </c>
      <c r="U216" s="14" t="s">
        <v>1821</v>
      </c>
    </row>
    <row r="217" ht="72" customHeight="1" spans="1:21" s="14" customFormat="1" x14ac:dyDescent="0.25">
      <c r="A217" s="14">
        <v>216</v>
      </c>
      <c r="B217" s="15" t="s">
        <v>136</v>
      </c>
      <c r="C217" s="16" t="s">
        <v>1830</v>
      </c>
      <c r="D217" s="17" t="s">
        <v>73</v>
      </c>
      <c r="E217" s="14" t="s">
        <v>1831</v>
      </c>
      <c r="F217" s="14" t="s">
        <v>1832</v>
      </c>
      <c r="G217" s="14" t="s">
        <v>1833</v>
      </c>
      <c r="H217" s="14" t="s">
        <v>113</v>
      </c>
      <c r="I217" s="22" t="s">
        <v>86</v>
      </c>
      <c r="J217" s="18" t="s">
        <v>90</v>
      </c>
      <c r="K217" s="14" t="s">
        <v>97</v>
      </c>
      <c r="L217" s="14" t="s">
        <v>1750</v>
      </c>
      <c r="M217" s="14" t="s">
        <v>1834</v>
      </c>
      <c r="N217" s="14" t="s">
        <v>1835</v>
      </c>
      <c r="O217" s="19" t="s">
        <v>1836</v>
      </c>
      <c r="P217" s="20" t="s">
        <v>145</v>
      </c>
      <c r="Q217" s="14" t="s">
        <v>146</v>
      </c>
      <c r="R217" s="14" t="s">
        <v>146</v>
      </c>
      <c r="S217" s="14" t="s">
        <v>1837</v>
      </c>
      <c r="T217" s="14" t="s">
        <v>1755</v>
      </c>
      <c r="U217" s="14" t="s">
        <v>1821</v>
      </c>
    </row>
    <row r="218" ht="72" customHeight="1" spans="1:21" s="14" customFormat="1" x14ac:dyDescent="0.25">
      <c r="A218" s="14">
        <v>217</v>
      </c>
      <c r="B218" s="15" t="s">
        <v>136</v>
      </c>
      <c r="C218" s="16" t="s">
        <v>1838</v>
      </c>
      <c r="D218" s="17" t="s">
        <v>73</v>
      </c>
      <c r="E218" s="14" t="s">
        <v>1839</v>
      </c>
      <c r="F218" s="14" t="s">
        <v>1840</v>
      </c>
      <c r="G218" s="14" t="s">
        <v>1841</v>
      </c>
      <c r="H218" s="14" t="s">
        <v>26</v>
      </c>
      <c r="I218" s="24" t="s">
        <v>82</v>
      </c>
      <c r="J218" s="18" t="s">
        <v>90</v>
      </c>
      <c r="K218" s="14" t="s">
        <v>95</v>
      </c>
      <c r="L218" s="14" t="s">
        <v>1750</v>
      </c>
      <c r="M218" s="14" t="s">
        <v>1842</v>
      </c>
      <c r="N218" s="14" t="s">
        <v>1843</v>
      </c>
      <c r="O218" s="19" t="s">
        <v>1844</v>
      </c>
      <c r="P218" s="20" t="s">
        <v>145</v>
      </c>
      <c r="Q218" s="14" t="s">
        <v>1845</v>
      </c>
      <c r="R218" s="14" t="s">
        <v>464</v>
      </c>
      <c r="S218" s="14" t="s">
        <v>1846</v>
      </c>
      <c r="T218" s="14" t="s">
        <v>1755</v>
      </c>
      <c r="U218" s="14" t="s">
        <v>1821</v>
      </c>
    </row>
  </sheetData>
  <pageMargins left="0.25" right="0.25" top="0.5" bottom="0.5" header="0.2" footer="0.2"/>
  <pageSetup paperSize="9" orientation="landscape" fitToWidth="1"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5911"/>
    <pageSetUpPr fitToPage="1"/>
  </sheetPr>
  <dimension ref="A1:L4"/>
  <sheetViews>
    <sheetView workbookViewId="0" showGridLines="0">
      <pane ySplit="1" topLeftCell="A2" activePane="bottomLeft" state="frozen"/>
      <selection pane="bottomLeft"/>
    </sheetView>
  </sheetViews>
  <sheetFormatPr defaultRowHeight="15" outlineLevelRow="0" outlineLevelCol="0" x14ac:dyDescent="55"/>
  <cols>
    <col min="1" max="1" width="14" customWidth="1"/>
    <col min="2" max="2" width="38" customWidth="1"/>
    <col min="3" max="8" width="34" customWidth="1"/>
    <col min="9" max="9" width="20" customWidth="1"/>
    <col min="10" max="10" width="35" customWidth="1"/>
    <col min="11" max="11" width="30" customWidth="1"/>
    <col min="12" max="12" width="64" customWidth="1"/>
  </cols>
  <sheetData>
    <row r="1" ht="30" customHeight="1" spans="1:12" s="30" customFormat="1" x14ac:dyDescent="0.25">
      <c r="A1" s="30" t="s">
        <v>1847</v>
      </c>
      <c r="B1" s="30" t="s">
        <v>1848</v>
      </c>
      <c r="C1" s="30" t="s">
        <v>63</v>
      </c>
      <c r="D1" s="30" t="s">
        <v>65</v>
      </c>
      <c r="E1" s="30" t="s">
        <v>75</v>
      </c>
      <c r="F1" s="30" t="s">
        <v>67</v>
      </c>
      <c r="G1" s="30" t="s">
        <v>69</v>
      </c>
      <c r="H1" s="30" t="s">
        <v>77</v>
      </c>
      <c r="I1" s="30" t="s">
        <v>73</v>
      </c>
      <c r="J1" s="30" t="s">
        <v>1849</v>
      </c>
      <c r="K1" s="30" t="s">
        <v>1850</v>
      </c>
      <c r="L1" s="30" t="s">
        <v>1851</v>
      </c>
    </row>
    <row r="2" ht="48" customHeight="1" spans="1:12" s="4" customFormat="1" x14ac:dyDescent="0.25">
      <c r="A2" s="4" t="s">
        <v>1852</v>
      </c>
      <c r="B2" s="4" t="s">
        <v>1853</v>
      </c>
      <c r="C2" s="4" t="s">
        <v>1854</v>
      </c>
      <c r="D2" s="4" t="s">
        <v>1855</v>
      </c>
      <c r="E2" s="4" t="s">
        <v>1856</v>
      </c>
      <c r="F2" s="4" t="s">
        <v>1857</v>
      </c>
      <c r="G2" s="4" t="s">
        <v>1858</v>
      </c>
      <c r="H2" s="4" t="s">
        <v>1859</v>
      </c>
      <c r="I2" s="4" t="s">
        <v>1860</v>
      </c>
      <c r="J2" s="4" t="s">
        <v>1861</v>
      </c>
      <c r="K2" s="4" t="s">
        <v>1862</v>
      </c>
      <c r="L2" s="4" t="s">
        <v>1863</v>
      </c>
    </row>
    <row r="3" ht="48" customHeight="1" spans="1:12" s="4" customFormat="1" x14ac:dyDescent="0.25">
      <c r="A3" s="4" t="s">
        <v>1864</v>
      </c>
      <c r="B3" s="4" t="s">
        <v>1865</v>
      </c>
      <c r="C3" s="4" t="s">
        <v>1866</v>
      </c>
      <c r="D3" s="4" t="s">
        <v>1867</v>
      </c>
      <c r="E3" s="4" t="s">
        <v>1868</v>
      </c>
      <c r="F3" s="4" t="s">
        <v>1869</v>
      </c>
      <c r="G3" s="4" t="s">
        <v>1870</v>
      </c>
      <c r="H3" s="4" t="s">
        <v>1871</v>
      </c>
      <c r="I3" s="4" t="s">
        <v>1872</v>
      </c>
      <c r="J3" s="4" t="s">
        <v>1873</v>
      </c>
      <c r="K3" s="4" t="s">
        <v>1874</v>
      </c>
      <c r="L3" s="4" t="s">
        <v>1863</v>
      </c>
    </row>
    <row r="4" ht="48" customHeight="1" spans="1:12" s="4" customFormat="1" x14ac:dyDescent="0.25">
      <c r="A4" s="4" t="s">
        <v>1875</v>
      </c>
      <c r="B4" s="4" t="s">
        <v>1876</v>
      </c>
      <c r="C4" s="4" t="s">
        <v>1877</v>
      </c>
      <c r="D4" s="4" t="s">
        <v>1878</v>
      </c>
      <c r="E4" s="4" t="s">
        <v>1879</v>
      </c>
      <c r="F4" s="4" t="s">
        <v>1880</v>
      </c>
      <c r="G4" s="4" t="s">
        <v>1881</v>
      </c>
      <c r="H4" s="4" t="s">
        <v>1882</v>
      </c>
      <c r="I4" s="4" t="s">
        <v>1883</v>
      </c>
      <c r="J4" s="4" t="s">
        <v>1884</v>
      </c>
      <c r="K4" s="31" t="s">
        <v>1885</v>
      </c>
      <c r="L4" s="4" t="s">
        <v>1886</v>
      </c>
    </row>
  </sheetData>
  <pageMargins left="0.25" right="0.25" top="0.5" bottom="0.5" header="0.2" footer="0.2"/>
  <pageSetup paperSize="9" orientation="landscape" fitToWidth="1" fitToHeight="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B78"/>
    <pageSetUpPr fitToPage="1"/>
  </sheetPr>
  <dimension ref="A1:F25"/>
  <sheetViews>
    <sheetView workbookViewId="0" showGridLines="0">
      <pane ySplit="1" topLeftCell="A2" activePane="bottomLeft" state="frozen"/>
      <selection pane="bottomLeft"/>
    </sheetView>
  </sheetViews>
  <sheetFormatPr defaultRowHeight="15" outlineLevelRow="0" outlineLevelCol="0" x14ac:dyDescent="55"/>
  <cols>
    <col min="1" max="1" width="25" customWidth="1"/>
    <col min="2" max="2" width="20" customWidth="1"/>
    <col min="3" max="3" width="31" customWidth="1"/>
    <col min="4" max="4" width="11" customWidth="1"/>
    <col min="5" max="5" width="75" customWidth="1"/>
    <col min="6" max="6" width="48" customWidth="1"/>
  </cols>
  <sheetData>
    <row r="1" ht="30" customHeight="1" spans="1:6" s="32" customFormat="1" x14ac:dyDescent="0.25">
      <c r="A1" s="32" t="s">
        <v>1887</v>
      </c>
      <c r="B1" s="32" t="s">
        <v>4</v>
      </c>
      <c r="C1" s="32" t="s">
        <v>1888</v>
      </c>
      <c r="D1" s="32" t="s">
        <v>1889</v>
      </c>
      <c r="E1" s="32" t="s">
        <v>124</v>
      </c>
      <c r="F1" s="32" t="s">
        <v>1890</v>
      </c>
    </row>
    <row r="2" ht="42" customHeight="1" spans="1:6" s="4" customFormat="1" x14ac:dyDescent="0.25">
      <c r="A2" s="16" t="s">
        <v>118</v>
      </c>
      <c r="B2" s="4" t="s">
        <v>1891</v>
      </c>
      <c r="C2" s="4" t="s">
        <v>1892</v>
      </c>
      <c r="D2" s="4" t="s">
        <v>1893</v>
      </c>
      <c r="E2" s="4" t="s">
        <v>1894</v>
      </c>
      <c r="F2" s="4" t="s">
        <v>1895</v>
      </c>
    </row>
    <row r="3" ht="42" customHeight="1" spans="1:6" s="4" customFormat="1" x14ac:dyDescent="0.25">
      <c r="A3" s="16" t="s">
        <v>119</v>
      </c>
      <c r="B3" s="4" t="s">
        <v>1891</v>
      </c>
      <c r="C3" s="4" t="s">
        <v>1896</v>
      </c>
      <c r="D3" s="4" t="s">
        <v>1893</v>
      </c>
      <c r="E3" s="4" t="s">
        <v>1897</v>
      </c>
      <c r="F3" s="4" t="s">
        <v>136</v>
      </c>
    </row>
    <row r="4" ht="42" customHeight="1" spans="1:6" s="4" customFormat="1" x14ac:dyDescent="0.25">
      <c r="A4" s="16" t="s">
        <v>120</v>
      </c>
      <c r="B4" s="4" t="s">
        <v>1891</v>
      </c>
      <c r="C4" s="4" t="s">
        <v>1898</v>
      </c>
      <c r="D4" s="4" t="s">
        <v>1893</v>
      </c>
      <c r="E4" s="4" t="s">
        <v>1899</v>
      </c>
      <c r="F4" s="4" t="s">
        <v>387</v>
      </c>
    </row>
    <row r="5" ht="42" customHeight="1" spans="1:6" s="4" customFormat="1" x14ac:dyDescent="0.25">
      <c r="A5" s="16" t="s">
        <v>121</v>
      </c>
      <c r="B5" s="4" t="s">
        <v>1891</v>
      </c>
      <c r="C5" s="4" t="s">
        <v>1892</v>
      </c>
      <c r="D5" s="4" t="s">
        <v>1893</v>
      </c>
      <c r="E5" s="4" t="s">
        <v>1900</v>
      </c>
      <c r="F5" s="4" t="s">
        <v>1901</v>
      </c>
    </row>
    <row r="6" ht="42" customHeight="1" spans="1:6" s="4" customFormat="1" x14ac:dyDescent="0.25">
      <c r="A6" s="16" t="s">
        <v>122</v>
      </c>
      <c r="B6" s="4" t="s">
        <v>1891</v>
      </c>
      <c r="C6" s="4" t="s">
        <v>1898</v>
      </c>
      <c r="D6" s="4" t="s">
        <v>1893</v>
      </c>
      <c r="E6" s="4" t="s">
        <v>1902</v>
      </c>
      <c r="F6" s="4" t="s">
        <v>289</v>
      </c>
    </row>
    <row r="7" ht="42" customHeight="1" spans="1:6" s="4" customFormat="1" x14ac:dyDescent="0.25">
      <c r="A7" s="16" t="s">
        <v>123</v>
      </c>
      <c r="B7" s="4" t="s">
        <v>1891</v>
      </c>
      <c r="C7" s="4" t="s">
        <v>1898</v>
      </c>
      <c r="D7" s="4" t="s">
        <v>1893</v>
      </c>
      <c r="E7" s="4" t="s">
        <v>1903</v>
      </c>
      <c r="F7" s="4" t="s">
        <v>389</v>
      </c>
    </row>
    <row r="8" ht="42" customHeight="1" spans="1:6" s="4" customFormat="1" x14ac:dyDescent="0.25">
      <c r="A8" s="16" t="s">
        <v>124</v>
      </c>
      <c r="B8" s="4" t="s">
        <v>1891</v>
      </c>
      <c r="C8" s="4" t="s">
        <v>1898</v>
      </c>
      <c r="D8" s="4" t="s">
        <v>1893</v>
      </c>
      <c r="E8" s="4" t="s">
        <v>1904</v>
      </c>
      <c r="F8" s="4" t="s">
        <v>1905</v>
      </c>
    </row>
    <row r="9" ht="42" customHeight="1" spans="1:6" s="4" customFormat="1" x14ac:dyDescent="0.25">
      <c r="A9" s="16" t="s">
        <v>101</v>
      </c>
      <c r="B9" s="4" t="s">
        <v>1891</v>
      </c>
      <c r="C9" s="4" t="s">
        <v>1898</v>
      </c>
      <c r="D9" s="4" t="s">
        <v>1893</v>
      </c>
      <c r="E9" s="4" t="s">
        <v>1906</v>
      </c>
      <c r="F9" s="4" t="s">
        <v>113</v>
      </c>
    </row>
    <row r="10" ht="42" customHeight="1" spans="1:6" s="4" customFormat="1" x14ac:dyDescent="0.25">
      <c r="A10" s="16" t="s">
        <v>125</v>
      </c>
      <c r="B10" s="4" t="s">
        <v>1891</v>
      </c>
      <c r="C10" s="4" t="s">
        <v>1898</v>
      </c>
      <c r="D10" s="4" t="s">
        <v>1893</v>
      </c>
      <c r="E10" s="4" t="s">
        <v>1907</v>
      </c>
      <c r="F10" s="4" t="s">
        <v>82</v>
      </c>
    </row>
    <row r="11" ht="42" customHeight="1" spans="1:6" s="4" customFormat="1" x14ac:dyDescent="0.25">
      <c r="A11" s="16" t="s">
        <v>89</v>
      </c>
      <c r="B11" s="4" t="s">
        <v>1891</v>
      </c>
      <c r="C11" s="4" t="s">
        <v>1898</v>
      </c>
      <c r="D11" s="4" t="s">
        <v>1893</v>
      </c>
      <c r="E11" s="4" t="s">
        <v>1908</v>
      </c>
      <c r="F11" s="4" t="s">
        <v>90</v>
      </c>
    </row>
    <row r="12" ht="42" customHeight="1" spans="1:6" s="4" customFormat="1" x14ac:dyDescent="0.25">
      <c r="A12" s="16" t="s">
        <v>94</v>
      </c>
      <c r="B12" s="4" t="s">
        <v>1891</v>
      </c>
      <c r="C12" s="4" t="s">
        <v>1898</v>
      </c>
      <c r="D12" s="4" t="s">
        <v>1893</v>
      </c>
      <c r="E12" s="4" t="s">
        <v>1909</v>
      </c>
      <c r="F12" s="4" t="s">
        <v>95</v>
      </c>
    </row>
    <row r="13" ht="42" customHeight="1" spans="1:6" s="4" customFormat="1" x14ac:dyDescent="0.25">
      <c r="A13" s="16" t="s">
        <v>126</v>
      </c>
      <c r="B13" s="4" t="s">
        <v>1891</v>
      </c>
      <c r="C13" s="4" t="s">
        <v>1898</v>
      </c>
      <c r="D13" s="4" t="s">
        <v>1893</v>
      </c>
      <c r="E13" s="4" t="s">
        <v>1910</v>
      </c>
      <c r="F13" s="4" t="s">
        <v>1911</v>
      </c>
    </row>
    <row r="14" ht="42" customHeight="1" spans="1:6" s="4" customFormat="1" x14ac:dyDescent="0.25">
      <c r="A14" s="16" t="s">
        <v>127</v>
      </c>
      <c r="B14" s="4" t="s">
        <v>1891</v>
      </c>
      <c r="C14" s="4" t="s">
        <v>1898</v>
      </c>
      <c r="D14" s="4" t="s">
        <v>1893</v>
      </c>
      <c r="E14" s="4" t="s">
        <v>1912</v>
      </c>
      <c r="F14" s="4" t="s">
        <v>1913</v>
      </c>
    </row>
    <row r="15" ht="42" customHeight="1" spans="1:6" s="4" customFormat="1" x14ac:dyDescent="0.25">
      <c r="A15" s="16" t="s">
        <v>128</v>
      </c>
      <c r="B15" s="4" t="s">
        <v>1891</v>
      </c>
      <c r="C15" s="4" t="s">
        <v>1898</v>
      </c>
      <c r="D15" s="4" t="s">
        <v>1893</v>
      </c>
      <c r="E15" s="4" t="s">
        <v>1914</v>
      </c>
      <c r="F15" s="4" t="s">
        <v>1915</v>
      </c>
    </row>
    <row r="16" ht="42" customHeight="1" spans="1:6" s="4" customFormat="1" x14ac:dyDescent="0.25">
      <c r="A16" s="16" t="s">
        <v>129</v>
      </c>
      <c r="B16" s="4" t="s">
        <v>1891</v>
      </c>
      <c r="C16" s="4" t="s">
        <v>1896</v>
      </c>
      <c r="D16" s="4" t="s">
        <v>1893</v>
      </c>
      <c r="E16" s="4" t="s">
        <v>1916</v>
      </c>
      <c r="F16" s="4" t="s">
        <v>1917</v>
      </c>
    </row>
    <row r="17" ht="42" customHeight="1" spans="1:6" s="4" customFormat="1" x14ac:dyDescent="0.25">
      <c r="A17" s="16" t="s">
        <v>130</v>
      </c>
      <c r="B17" s="4" t="s">
        <v>1891</v>
      </c>
      <c r="C17" s="4" t="s">
        <v>1898</v>
      </c>
      <c r="D17" s="4" t="s">
        <v>1893</v>
      </c>
      <c r="E17" s="4" t="s">
        <v>1918</v>
      </c>
      <c r="F17" s="4" t="s">
        <v>136</v>
      </c>
    </row>
    <row r="18" ht="42" customHeight="1" spans="1:6" s="4" customFormat="1" x14ac:dyDescent="0.25">
      <c r="A18" s="16" t="s">
        <v>131</v>
      </c>
      <c r="B18" s="4" t="s">
        <v>1891</v>
      </c>
      <c r="C18" s="4" t="s">
        <v>1898</v>
      </c>
      <c r="D18" s="4" t="s">
        <v>1919</v>
      </c>
      <c r="E18" s="4" t="s">
        <v>1920</v>
      </c>
      <c r="F18" s="4" t="s">
        <v>545</v>
      </c>
    </row>
    <row r="19" ht="42" customHeight="1" spans="1:6" s="4" customFormat="1" x14ac:dyDescent="0.25">
      <c r="A19" s="16" t="s">
        <v>132</v>
      </c>
      <c r="B19" s="4" t="s">
        <v>1891</v>
      </c>
      <c r="C19" s="4" t="s">
        <v>1898</v>
      </c>
      <c r="D19" s="4" t="s">
        <v>1919</v>
      </c>
      <c r="E19" s="4" t="s">
        <v>1921</v>
      </c>
      <c r="F19" s="4" t="s">
        <v>385</v>
      </c>
    </row>
    <row r="20" ht="42" customHeight="1" spans="1:6" s="4" customFormat="1" x14ac:dyDescent="0.25">
      <c r="A20" s="16" t="s">
        <v>133</v>
      </c>
      <c r="B20" s="4" t="s">
        <v>1891</v>
      </c>
      <c r="C20" s="4" t="s">
        <v>1898</v>
      </c>
      <c r="D20" s="4" t="s">
        <v>1893</v>
      </c>
      <c r="E20" s="4" t="s">
        <v>1922</v>
      </c>
      <c r="F20" s="4" t="s">
        <v>1923</v>
      </c>
    </row>
    <row r="21" ht="42" customHeight="1" spans="1:6" s="4" customFormat="1" x14ac:dyDescent="0.25">
      <c r="A21" s="16" t="s">
        <v>134</v>
      </c>
      <c r="B21" s="4" t="s">
        <v>1891</v>
      </c>
      <c r="C21" s="4" t="s">
        <v>1892</v>
      </c>
      <c r="D21" s="4" t="s">
        <v>1893</v>
      </c>
      <c r="E21" s="4" t="s">
        <v>1924</v>
      </c>
      <c r="F21" s="4" t="s">
        <v>257</v>
      </c>
    </row>
    <row r="22" ht="42" customHeight="1" spans="1:6" s="4" customFormat="1" x14ac:dyDescent="0.25">
      <c r="A22" s="16" t="s">
        <v>135</v>
      </c>
      <c r="B22" s="4" t="s">
        <v>1891</v>
      </c>
      <c r="C22" s="4" t="s">
        <v>1896</v>
      </c>
      <c r="D22" s="4" t="s">
        <v>1919</v>
      </c>
      <c r="E22" s="4" t="s">
        <v>1925</v>
      </c>
      <c r="F22" s="4" t="s">
        <v>1926</v>
      </c>
    </row>
    <row r="23" ht="42" customHeight="1" spans="1:6" s="4" customFormat="1" x14ac:dyDescent="0.25">
      <c r="A23" s="16" t="s">
        <v>1848</v>
      </c>
      <c r="B23" s="4" t="s">
        <v>1927</v>
      </c>
      <c r="C23" s="4" t="s">
        <v>1928</v>
      </c>
      <c r="D23" s="4" t="s">
        <v>1893</v>
      </c>
      <c r="E23" s="4" t="s">
        <v>1929</v>
      </c>
      <c r="F23" s="4" t="s">
        <v>1853</v>
      </c>
    </row>
    <row r="24" ht="42" customHeight="1" spans="1:6" s="4" customFormat="1" x14ac:dyDescent="0.25">
      <c r="A24" s="16" t="s">
        <v>1930</v>
      </c>
      <c r="B24" s="4" t="s">
        <v>1931</v>
      </c>
      <c r="C24" s="4" t="s">
        <v>1932</v>
      </c>
      <c r="D24" s="4" t="s">
        <v>1933</v>
      </c>
      <c r="E24" s="4" t="s">
        <v>1934</v>
      </c>
      <c r="F24" s="4" t="s">
        <v>1935</v>
      </c>
    </row>
    <row r="25" ht="42" customHeight="1" spans="1:6" s="4" customFormat="1" x14ac:dyDescent="0.25">
      <c r="A25" s="16" t="s">
        <v>1936</v>
      </c>
      <c r="B25" s="4" t="s">
        <v>129</v>
      </c>
      <c r="C25" s="4" t="s">
        <v>1896</v>
      </c>
      <c r="D25" s="4" t="s">
        <v>1919</v>
      </c>
      <c r="E25" s="4" t="s">
        <v>1937</v>
      </c>
      <c r="F25" s="4" t="s">
        <v>1938</v>
      </c>
    </row>
  </sheetData>
  <pageMargins left="0.25" right="0.25" top="0.5" bottom="0.5" header="0.2" footer="0.2"/>
  <pageSetup paperSize="9" orientation="landscape" fitToWidth="1"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Coverage Summary</vt:lpstr>
      <vt:lpstr>UI Test Cases</vt:lpstr>
      <vt:lpstr>Environment Matrix</vt:lpstr>
      <vt:lpstr>Field Reference</vt:lpstr>
    </vt:vector>
  </TitlesOfParts>
  <Company>Ledgers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Copilot Playwright</dc:creator>
  <dc:title>June UI Automation Test Catalog</dc:title>
  <dc:subject>Forwardable UI automation catalog for all implemented June modules</dc:subject>
  <dc:description>{"schemaVersion":1,"generatedAt":"2026-09-23T12:59:42.401Z","moduleSources":{"Account":"account-data-driven.xlsx","Agents":"agents-data-driven.xlsx","Tools":"tools-data-driven.xlsx","Connectors":"connectors-data-driven.xlsx","Knowledge":"knowledge-data-driven.xlsx","Guardrails":"guardrails-data-driven.xlsx","UI Components":"ui-components-data-driven.xlsx","Product Tour":"product-tour-data-driven.xlsx"},"sourceHashes":{"../package.json":"69416031d5abd94380864421d9c908e2cdd8ca48d06c7d8423b01042ad6c2379","config/environments.json":"90fe37e6e777c7704ce19b19b103f9b48b12d74aae18e677c026ef7163c51661","package.json":"48103e74118929165438add48b5372557f6894651ce737c7f892648be3354fcd","scripts/create-ui-automation-catalog-workbook.mjs":"2ba5efb13078248645951d2142db3d4081ed1f72da50a6721720a01c44a8d0f5","scripts/run-environment.mjs":"f7ae85043e04f31497fc1e870d6fbb93b83da315f384bd375293a324c6fa753a","test-cases/account-flow-cases.ts":"d44befed6a400f18c58f2e3b87212015a589bed412265cf32ddce1cd6150cbc7","test-cases/agent-flow-cases.ts":"af874cb069ae82e6b479b54aa7da0a061e25adb5819bf0624b5422ce7b32c669","test-cases/connector-flow-cases.ts":"2bf2a5499de63243462c9605f548ce95392eb4c7626a989371c9c5a4623fa0f6","test-cases/guardrail-flow-cases.ts":"ef55ceb2e7279fbe4f552ed5152c3700d1c0970ef6b9f706672f4f7e18e20fce","test-cases/knowledge-flow-cases.ts":"cd0caacc80e40c2fbb11fc3c8086e6fe6cbf380e8d55a1d8752b879733c7dc62","test-cases/product-tour-flow-cases.ts":"365ee856935483d1485ff4424dc5b9a25c194ec6d462c3c0f778cb5a108c1bba","test-cases/ui-component-flow-cases.ts":"7706989a44912a51dd947f00c7a35b4d5d6a8f36b421ef430920e1f7c8a91b68","test-data/account-data-driven.xlsx":"5f8fbf667349f8cdddb253657acde4f3304d14e82eb2308b80fc36d122e953b5","test-data/agents-data-driven.xlsx":"e68c18b8eede5c32a5992d7daaccb5b293ab9623a6722e8c47bfbbe9243a8574","test-data/connectors-data-driven.xlsx":"b514b9fba84d0de4db005d16bbf5880e4be0cf8bdd80fa7ce365d8ad26f29aeb","test-data/guardrails-data-driven.xlsx":"de1a25c8447afbd29f65e266cbfde2106c51e10a164211f4837ee05fdba09b72","test-data/knowledge-data-driven.xlsx":"7edd787181abd9a04f3fd1c0a861e3032ad685db1d94f534870327bbc7e3a04f","test-data/product-tour-data-driven.xlsx":"2891a06a6411b80f3923619273c380d012cc7a3a97887a1ab82713437e942aff","test-data/tools-data-driven.xlsx":"45bf325b700f3029f2754958e085bec9aa41e48323af7c2669fa4e28c9023a4c","test-data/ui-components-data-driven.xlsx":"4faee6faeaeed4fb8e07425679f41ed79598eed596862fd1cb74c71d86009cea"},"catalogHash":"e40bd7ca31d1e8d487a81bc15f4e7beeaea947e8a379784f3df053b51aff06b0","workbookHash":"b6baf60b2629298cd7cb5124edc026bcd72717fd19af09fe37e9dabc1ea8d59d"}</dc:description>
  <cp:keywords/>
  <cp:category/>
  <cp:lastModifiedBy>QA Copilot Playwright</cp:lastModifiedBy>
  <dcterms:created xsi:type="dcterms:W3CDTF">2026-09-23T12:59:42Z</dcterms:created>
  <dcterms:modified xsi:type="dcterms:W3CDTF">2026-09-23T12:59:42Z</dcterms:modified>
</cp:coreProperties>
</file>